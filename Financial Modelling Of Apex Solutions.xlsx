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swapn\OneDrive\Desktop\"/>
    </mc:Choice>
  </mc:AlternateContent>
  <xr:revisionPtr revIDLastSave="0" documentId="8_{EEEDE055-848E-4A53-B494-FF6DDD692BC7}" xr6:coauthVersionLast="47" xr6:coauthVersionMax="47" xr10:uidLastSave="{00000000-0000-0000-0000-000000000000}"/>
  <bookViews>
    <workbookView xWindow="-108" yWindow="-108" windowWidth="23256" windowHeight="12456" tabRatio="927" activeTab="6" xr2:uid="{00000000-000D-0000-FFFF-FFFF00000000}"/>
  </bookViews>
  <sheets>
    <sheet name="Income Statement" sheetId="31" r:id="rId1"/>
    <sheet name="Balance Sheet" sheetId="32" r:id="rId2"/>
    <sheet name="Cash Flow" sheetId="57" r:id="rId3"/>
    <sheet name="Dep Capex" sheetId="54" r:id="rId4"/>
    <sheet name="Working Capital" sheetId="56" r:id="rId5"/>
    <sheet name="Debt" sheetId="58" r:id="rId6"/>
    <sheet name="Dashboard" sheetId="62" r:id="rId7"/>
    <sheet name="Tables" sheetId="63" state="hidden" r:id="rId8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2" hidden="1">#REF!</definedName>
    <definedName name="IQRCOMPSE5" localSheetId="5" hidden="1">#REF!</definedName>
    <definedName name="IQRCOMPSE5" localSheetId="3" hidden="1">#REF!</definedName>
    <definedName name="IQRCOMPSE5" localSheetId="4" hidden="1">#REF!</definedName>
    <definedName name="IQRCOMPSE5" hidden="1">#REF!</definedName>
    <definedName name="tax_r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63" l="1"/>
  <c r="V7" i="63"/>
  <c r="V6" i="63"/>
  <c r="V5" i="63"/>
  <c r="V4" i="63"/>
  <c r="S8" i="63"/>
  <c r="S7" i="63"/>
  <c r="S6" i="63"/>
  <c r="S5" i="63"/>
  <c r="S4" i="63"/>
  <c r="P8" i="63"/>
  <c r="P7" i="63"/>
  <c r="P6" i="63"/>
  <c r="P5" i="63"/>
  <c r="P4" i="63"/>
  <c r="L8" i="63"/>
  <c r="L7" i="63"/>
  <c r="L6" i="63"/>
  <c r="L5" i="63"/>
  <c r="L4" i="63"/>
  <c r="I8" i="63"/>
  <c r="I7" i="63"/>
  <c r="I6" i="63"/>
  <c r="I5" i="63"/>
  <c r="I4" i="63"/>
  <c r="F8" i="63"/>
  <c r="E8" i="63"/>
  <c r="C8" i="63"/>
  <c r="F7" i="63"/>
  <c r="E7" i="63"/>
  <c r="C7" i="63"/>
  <c r="F6" i="63"/>
  <c r="E6" i="63"/>
  <c r="C6" i="63"/>
  <c r="F5" i="63"/>
  <c r="E5" i="63"/>
  <c r="C5" i="63"/>
  <c r="F4" i="63"/>
  <c r="E4" i="63"/>
  <c r="C4" i="63"/>
  <c r="V7" i="62"/>
  <c r="R7" i="62"/>
  <c r="N7" i="62"/>
  <c r="J7" i="62"/>
  <c r="F7" i="62"/>
  <c r="B7" i="62"/>
  <c r="J69" i="31"/>
  <c r="I69" i="31"/>
  <c r="H69" i="31"/>
  <c r="G69" i="31"/>
  <c r="F69" i="31"/>
  <c r="J68" i="31"/>
  <c r="I68" i="31"/>
  <c r="H68" i="31"/>
  <c r="G68" i="31"/>
  <c r="F68" i="31"/>
  <c r="J67" i="31"/>
  <c r="I67" i="31"/>
  <c r="H67" i="31"/>
  <c r="G67" i="31"/>
  <c r="F67" i="31"/>
  <c r="J66" i="31"/>
  <c r="I66" i="31"/>
  <c r="H66" i="31"/>
  <c r="G66" i="31"/>
  <c r="F66" i="31"/>
  <c r="J65" i="31"/>
  <c r="I65" i="31"/>
  <c r="H65" i="31"/>
  <c r="G65" i="31"/>
  <c r="F65" i="31"/>
  <c r="J47" i="32"/>
  <c r="I47" i="32"/>
  <c r="H47" i="32"/>
  <c r="G47" i="32"/>
  <c r="F47" i="32"/>
  <c r="J45" i="32"/>
  <c r="I45" i="32"/>
  <c r="H45" i="32"/>
  <c r="G45" i="32"/>
  <c r="F45" i="32"/>
  <c r="J42" i="32"/>
  <c r="I42" i="32"/>
  <c r="H42" i="32"/>
  <c r="G42" i="32"/>
  <c r="F42" i="32"/>
  <c r="J41" i="32"/>
  <c r="I41" i="32"/>
  <c r="H41" i="32"/>
  <c r="G41" i="32"/>
  <c r="F41" i="32"/>
  <c r="J40" i="32"/>
  <c r="I40" i="32"/>
  <c r="H40" i="32"/>
  <c r="G40" i="32"/>
  <c r="F40" i="32"/>
  <c r="J37" i="32"/>
  <c r="I37" i="32"/>
  <c r="H37" i="32"/>
  <c r="G37" i="32"/>
  <c r="F37" i="32"/>
  <c r="J35" i="32"/>
  <c r="I35" i="32"/>
  <c r="H35" i="32"/>
  <c r="G35" i="32"/>
  <c r="F35" i="32"/>
  <c r="J33" i="32"/>
  <c r="I33" i="32"/>
  <c r="H33" i="32"/>
  <c r="G33" i="32"/>
  <c r="F33" i="32"/>
  <c r="H32" i="32"/>
  <c r="I32" i="32" s="1"/>
  <c r="J32" i="32" s="1"/>
  <c r="G32" i="32"/>
  <c r="F32" i="32"/>
  <c r="H31" i="32"/>
  <c r="I31" i="32" s="1"/>
  <c r="J31" i="32" s="1"/>
  <c r="G31" i="32"/>
  <c r="F31" i="32"/>
  <c r="G30" i="32"/>
  <c r="H30" i="32" s="1"/>
  <c r="I30" i="32" s="1"/>
  <c r="J30" i="32" s="1"/>
  <c r="F30" i="32"/>
  <c r="I16" i="32"/>
  <c r="J16" i="32" s="1"/>
  <c r="J18" i="32" s="1"/>
  <c r="H16" i="32"/>
  <c r="G16" i="32"/>
  <c r="F16" i="32"/>
  <c r="F18" i="32" s="1"/>
  <c r="J22" i="57"/>
  <c r="I22" i="57"/>
  <c r="H22" i="57"/>
  <c r="H23" i="57" s="1"/>
  <c r="G22" i="57"/>
  <c r="F22" i="57"/>
  <c r="F25" i="31"/>
  <c r="J24" i="31"/>
  <c r="I24" i="31"/>
  <c r="H24" i="31"/>
  <c r="G24" i="31"/>
  <c r="F24" i="31"/>
  <c r="F18" i="58"/>
  <c r="E26" i="31"/>
  <c r="F23" i="57"/>
  <c r="G23" i="57"/>
  <c r="I23" i="57"/>
  <c r="J23" i="57"/>
  <c r="J28" i="32"/>
  <c r="I28" i="32"/>
  <c r="H28" i="32"/>
  <c r="G28" i="32"/>
  <c r="F28" i="32"/>
  <c r="J27" i="32"/>
  <c r="I27" i="32"/>
  <c r="H27" i="32"/>
  <c r="G27" i="32"/>
  <c r="F27" i="32"/>
  <c r="J15" i="58"/>
  <c r="I15" i="58"/>
  <c r="H15" i="58"/>
  <c r="G15" i="58"/>
  <c r="F15" i="58"/>
  <c r="J13" i="58"/>
  <c r="I13" i="58"/>
  <c r="H13" i="58"/>
  <c r="G13" i="58"/>
  <c r="F13" i="58"/>
  <c r="G7" i="58"/>
  <c r="G10" i="58" s="1"/>
  <c r="H7" i="58" s="1"/>
  <c r="H10" i="58" s="1"/>
  <c r="I7" i="58" s="1"/>
  <c r="I10" i="58" s="1"/>
  <c r="J7" i="58" s="1"/>
  <c r="J10" i="58" s="1"/>
  <c r="F10" i="58"/>
  <c r="F7" i="58"/>
  <c r="E10" i="58"/>
  <c r="F26" i="57"/>
  <c r="E27" i="57"/>
  <c r="J19" i="57"/>
  <c r="I19" i="57"/>
  <c r="H19" i="57"/>
  <c r="G19" i="57"/>
  <c r="F19" i="57"/>
  <c r="J18" i="57"/>
  <c r="I18" i="57"/>
  <c r="H18" i="57"/>
  <c r="G18" i="57"/>
  <c r="F18" i="57"/>
  <c r="J17" i="57"/>
  <c r="I17" i="57"/>
  <c r="H17" i="57"/>
  <c r="G17" i="57"/>
  <c r="F17" i="57"/>
  <c r="J13" i="57"/>
  <c r="I13" i="57"/>
  <c r="H13" i="57"/>
  <c r="G13" i="57"/>
  <c r="J12" i="57"/>
  <c r="I12" i="57"/>
  <c r="H12" i="57"/>
  <c r="G12" i="57"/>
  <c r="J11" i="57"/>
  <c r="I11" i="57"/>
  <c r="H11" i="57"/>
  <c r="G11" i="57"/>
  <c r="F13" i="57"/>
  <c r="F12" i="57"/>
  <c r="F11" i="57"/>
  <c r="J9" i="57"/>
  <c r="I9" i="57"/>
  <c r="H9" i="57"/>
  <c r="G9" i="57"/>
  <c r="F9" i="57"/>
  <c r="J25" i="32"/>
  <c r="I25" i="32"/>
  <c r="H25" i="32"/>
  <c r="G25" i="32"/>
  <c r="F25" i="32"/>
  <c r="J24" i="32"/>
  <c r="I24" i="32"/>
  <c r="H24" i="32"/>
  <c r="G24" i="32"/>
  <c r="F24" i="32"/>
  <c r="I18" i="32"/>
  <c r="H18" i="32"/>
  <c r="G18" i="32"/>
  <c r="J9" i="32"/>
  <c r="I9" i="32"/>
  <c r="H9" i="32"/>
  <c r="G9" i="32"/>
  <c r="J8" i="32"/>
  <c r="I8" i="32"/>
  <c r="H8" i="32"/>
  <c r="G8" i="32"/>
  <c r="F9" i="32"/>
  <c r="F8" i="32"/>
  <c r="J9" i="56"/>
  <c r="I9" i="56"/>
  <c r="H9" i="56"/>
  <c r="G9" i="56"/>
  <c r="J8" i="56"/>
  <c r="I8" i="56"/>
  <c r="H8" i="56"/>
  <c r="G8" i="56"/>
  <c r="J7" i="56"/>
  <c r="I7" i="56"/>
  <c r="H7" i="56"/>
  <c r="G7" i="56"/>
  <c r="F9" i="56"/>
  <c r="F8" i="56"/>
  <c r="F7" i="56"/>
  <c r="J17" i="56"/>
  <c r="I17" i="56"/>
  <c r="H17" i="56"/>
  <c r="G17" i="56"/>
  <c r="J16" i="56"/>
  <c r="I16" i="56"/>
  <c r="H16" i="56"/>
  <c r="G16" i="56"/>
  <c r="J15" i="56"/>
  <c r="I15" i="56"/>
  <c r="H15" i="56"/>
  <c r="G15" i="56"/>
  <c r="F17" i="56"/>
  <c r="F16" i="56"/>
  <c r="F15" i="56"/>
  <c r="J22" i="56"/>
  <c r="I22" i="56"/>
  <c r="H22" i="56"/>
  <c r="G22" i="56"/>
  <c r="F22" i="56"/>
  <c r="E22" i="56"/>
  <c r="D22" i="56"/>
  <c r="C22" i="56"/>
  <c r="E21" i="56"/>
  <c r="D21" i="56"/>
  <c r="E20" i="56"/>
  <c r="D20" i="56"/>
  <c r="E19" i="56"/>
  <c r="D19" i="56"/>
  <c r="C21" i="56"/>
  <c r="C20" i="56"/>
  <c r="C19" i="56"/>
  <c r="E17" i="56"/>
  <c r="D17" i="56"/>
  <c r="E16" i="56"/>
  <c r="D16" i="56"/>
  <c r="E15" i="56"/>
  <c r="D15" i="56"/>
  <c r="C17" i="56"/>
  <c r="C16" i="56"/>
  <c r="C15" i="56"/>
  <c r="J12" i="56"/>
  <c r="I12" i="56"/>
  <c r="H12" i="56"/>
  <c r="G12" i="56"/>
  <c r="F12" i="56"/>
  <c r="E12" i="56"/>
  <c r="D12" i="56"/>
  <c r="C12" i="56"/>
  <c r="J11" i="56"/>
  <c r="I11" i="56"/>
  <c r="H11" i="56"/>
  <c r="G11" i="56"/>
  <c r="F11" i="56"/>
  <c r="E11" i="56"/>
  <c r="D11" i="56"/>
  <c r="C11" i="56"/>
  <c r="E9" i="56"/>
  <c r="D9" i="56"/>
  <c r="C9" i="56"/>
  <c r="E8" i="56"/>
  <c r="D8" i="56"/>
  <c r="C8" i="56"/>
  <c r="E7" i="56"/>
  <c r="D7" i="56"/>
  <c r="C7" i="56"/>
  <c r="J8" i="57"/>
  <c r="I8" i="57"/>
  <c r="H8" i="57"/>
  <c r="G8" i="57"/>
  <c r="F8" i="57"/>
  <c r="J13" i="32"/>
  <c r="I13" i="32"/>
  <c r="H13" i="32"/>
  <c r="G13" i="32"/>
  <c r="F13" i="32"/>
  <c r="J20" i="31"/>
  <c r="I20" i="31"/>
  <c r="H20" i="31"/>
  <c r="G20" i="31"/>
  <c r="F20" i="31"/>
  <c r="F22" i="31" s="1"/>
  <c r="J12" i="54"/>
  <c r="I12" i="54"/>
  <c r="H12" i="54"/>
  <c r="G12" i="54"/>
  <c r="F12" i="54"/>
  <c r="J7" i="54"/>
  <c r="I7" i="54"/>
  <c r="H7" i="54"/>
  <c r="G7" i="54"/>
  <c r="F7" i="54"/>
  <c r="E8" i="54"/>
  <c r="D8" i="54"/>
  <c r="C8" i="54"/>
  <c r="E7" i="54"/>
  <c r="D7" i="54"/>
  <c r="C7" i="54"/>
  <c r="J5" i="54"/>
  <c r="I5" i="54"/>
  <c r="H5" i="54"/>
  <c r="G5" i="54"/>
  <c r="F5" i="54"/>
  <c r="E5" i="54"/>
  <c r="D5" i="54"/>
  <c r="C5" i="54"/>
  <c r="F10" i="54"/>
  <c r="E13" i="54"/>
  <c r="F13" i="54"/>
  <c r="G10" i="54" s="1"/>
  <c r="G13" i="54" s="1"/>
  <c r="H10" i="54" s="1"/>
  <c r="H13" i="54" s="1"/>
  <c r="I10" i="54" s="1"/>
  <c r="I13" i="54" s="1"/>
  <c r="J10" i="54" s="1"/>
  <c r="J13" i="54" s="1"/>
  <c r="J22" i="31"/>
  <c r="I22" i="31"/>
  <c r="H22" i="31"/>
  <c r="G22" i="31"/>
  <c r="C62" i="31"/>
  <c r="J18" i="31"/>
  <c r="I18" i="31"/>
  <c r="H18" i="31"/>
  <c r="G18" i="31"/>
  <c r="F18" i="31"/>
  <c r="J17" i="31"/>
  <c r="I17" i="31"/>
  <c r="H17" i="31"/>
  <c r="G17" i="31"/>
  <c r="F17" i="31"/>
  <c r="E60" i="31"/>
  <c r="D60" i="31"/>
  <c r="C60" i="31"/>
  <c r="J16" i="31"/>
  <c r="I16" i="31"/>
  <c r="H16" i="31"/>
  <c r="G16" i="31"/>
  <c r="F16" i="31"/>
  <c r="J14" i="31"/>
  <c r="I14" i="31"/>
  <c r="H14" i="31"/>
  <c r="G14" i="31"/>
  <c r="F14" i="31"/>
  <c r="J13" i="31"/>
  <c r="I13" i="31"/>
  <c r="H13" i="31"/>
  <c r="G13" i="31"/>
  <c r="F13" i="31"/>
  <c r="J12" i="31"/>
  <c r="I12" i="31"/>
  <c r="H12" i="31"/>
  <c r="G12" i="31"/>
  <c r="F12" i="31"/>
  <c r="J11" i="31"/>
  <c r="I11" i="31"/>
  <c r="H11" i="31"/>
  <c r="G11" i="31"/>
  <c r="F11" i="31"/>
  <c r="J58" i="31"/>
  <c r="I58" i="31"/>
  <c r="H58" i="31"/>
  <c r="G58" i="31"/>
  <c r="F58" i="31"/>
  <c r="E58" i="31"/>
  <c r="D58" i="31"/>
  <c r="C58" i="31"/>
  <c r="J51" i="31"/>
  <c r="I51" i="31"/>
  <c r="H51" i="31"/>
  <c r="G51" i="31"/>
  <c r="F51" i="31"/>
  <c r="E51" i="31"/>
  <c r="D51" i="31"/>
  <c r="C51" i="31"/>
  <c r="J57" i="31"/>
  <c r="I57" i="31"/>
  <c r="H57" i="31"/>
  <c r="G57" i="31"/>
  <c r="F57" i="31"/>
  <c r="J55" i="31"/>
  <c r="I55" i="31"/>
  <c r="H55" i="31"/>
  <c r="G55" i="31"/>
  <c r="F55" i="31"/>
  <c r="J54" i="31"/>
  <c r="I54" i="31"/>
  <c r="H54" i="31"/>
  <c r="G54" i="31"/>
  <c r="F54" i="31"/>
  <c r="D57" i="31"/>
  <c r="E56" i="31"/>
  <c r="E55" i="31"/>
  <c r="D55" i="31"/>
  <c r="D56" i="31" s="1"/>
  <c r="E54" i="31"/>
  <c r="E57" i="31" s="1"/>
  <c r="D54" i="31"/>
  <c r="C57" i="31"/>
  <c r="C56" i="31"/>
  <c r="C55" i="31"/>
  <c r="C54" i="31"/>
  <c r="J50" i="31"/>
  <c r="I50" i="31"/>
  <c r="H50" i="31"/>
  <c r="G50" i="31"/>
  <c r="F50" i="31"/>
  <c r="J48" i="31"/>
  <c r="I48" i="31"/>
  <c r="H48" i="31"/>
  <c r="G48" i="31"/>
  <c r="F48" i="31"/>
  <c r="E50" i="31"/>
  <c r="D50" i="31"/>
  <c r="C50" i="31"/>
  <c r="E49" i="31"/>
  <c r="D49" i="31"/>
  <c r="C49" i="31"/>
  <c r="E48" i="31"/>
  <c r="D48" i="31"/>
  <c r="C48" i="31"/>
  <c r="J47" i="31"/>
  <c r="I47" i="31"/>
  <c r="H47" i="31"/>
  <c r="G47" i="31"/>
  <c r="F47" i="31"/>
  <c r="E47" i="31"/>
  <c r="D47" i="31"/>
  <c r="C47" i="31"/>
  <c r="J43" i="31"/>
  <c r="J44" i="31" s="1"/>
  <c r="I43" i="31"/>
  <c r="I44" i="31" s="1"/>
  <c r="H43" i="31"/>
  <c r="H44" i="31" s="1"/>
  <c r="G43" i="31"/>
  <c r="G44" i="31" s="1"/>
  <c r="F43" i="31"/>
  <c r="F44" i="31" s="1"/>
  <c r="J41" i="31"/>
  <c r="I41" i="31"/>
  <c r="H41" i="31"/>
  <c r="G41" i="31"/>
  <c r="F41" i="31"/>
  <c r="J40" i="31"/>
  <c r="I40" i="31"/>
  <c r="H40" i="31"/>
  <c r="G40" i="31"/>
  <c r="F40" i="31"/>
  <c r="E43" i="31"/>
  <c r="E44" i="31" s="1"/>
  <c r="D43" i="31"/>
  <c r="D44" i="31" s="1"/>
  <c r="C44" i="31"/>
  <c r="C43" i="31"/>
  <c r="D42" i="31"/>
  <c r="E41" i="31"/>
  <c r="E42" i="31" s="1"/>
  <c r="D41" i="31"/>
  <c r="E40" i="31"/>
  <c r="D40" i="31"/>
  <c r="C42" i="31"/>
  <c r="C41" i="31"/>
  <c r="C40" i="31"/>
  <c r="J9" i="31"/>
  <c r="I9" i="31"/>
  <c r="H9" i="31"/>
  <c r="G9" i="31"/>
  <c r="F9" i="31"/>
  <c r="G8" i="31"/>
  <c r="H8" i="31" s="1"/>
  <c r="I8" i="31" s="1"/>
  <c r="J8" i="31" s="1"/>
  <c r="H7" i="31"/>
  <c r="I7" i="31" s="1"/>
  <c r="J7" i="31" s="1"/>
  <c r="G7" i="31"/>
  <c r="H6" i="31"/>
  <c r="I6" i="31" s="1"/>
  <c r="J6" i="31" s="1"/>
  <c r="G6" i="31"/>
  <c r="F8" i="31"/>
  <c r="F7" i="31"/>
  <c r="F6" i="31"/>
  <c r="E37" i="31"/>
  <c r="D37" i="31"/>
  <c r="E36" i="31"/>
  <c r="D36" i="31"/>
  <c r="E35" i="31"/>
  <c r="D35" i="31"/>
  <c r="C47" i="32"/>
  <c r="E45" i="32"/>
  <c r="D45" i="32"/>
  <c r="C45" i="32"/>
  <c r="E42" i="32"/>
  <c r="D42" i="32"/>
  <c r="C42" i="32"/>
  <c r="E41" i="32"/>
  <c r="D41" i="32"/>
  <c r="C41" i="32"/>
  <c r="E40" i="32"/>
  <c r="D40" i="32"/>
  <c r="C40" i="32"/>
  <c r="D65" i="31"/>
  <c r="C65" i="31"/>
  <c r="E65" i="31"/>
  <c r="D66" i="31"/>
  <c r="E66" i="31"/>
  <c r="D67" i="31"/>
  <c r="C69" i="31"/>
  <c r="C68" i="31"/>
  <c r="C67" i="31"/>
  <c r="C66" i="31"/>
  <c r="D26" i="31" l="1"/>
  <c r="C26" i="31"/>
  <c r="E24" i="32"/>
  <c r="D24" i="32"/>
  <c r="C24" i="32"/>
  <c r="E9" i="32"/>
  <c r="D9" i="32"/>
  <c r="C9" i="32"/>
  <c r="E28" i="32" l="1"/>
  <c r="D28" i="32"/>
  <c r="C28" i="32"/>
  <c r="C14" i="31" l="1"/>
  <c r="C9" i="31"/>
  <c r="C33" i="32"/>
  <c r="C25" i="32"/>
  <c r="C18" i="32"/>
  <c r="C10" i="32"/>
  <c r="D33" i="32"/>
  <c r="D25" i="32"/>
  <c r="D18" i="32"/>
  <c r="D10" i="32"/>
  <c r="D20" i="32" l="1"/>
  <c r="C20" i="32"/>
  <c r="D35" i="32"/>
  <c r="C35" i="32"/>
  <c r="C16" i="31"/>
  <c r="E33" i="32"/>
  <c r="C18" i="31" l="1"/>
  <c r="C22" i="31" s="1"/>
  <c r="D37" i="32"/>
  <c r="C37" i="32"/>
  <c r="C28" i="31" l="1"/>
  <c r="C30" i="31" l="1"/>
  <c r="E25" i="32" l="1"/>
  <c r="E35" i="32" l="1"/>
  <c r="E10" i="32" l="1"/>
  <c r="E18" i="32" l="1"/>
  <c r="E20" i="32" s="1"/>
  <c r="E37" i="32" l="1"/>
  <c r="E14" i="31" l="1"/>
  <c r="D14" i="31" l="1"/>
  <c r="D9" i="31" l="1"/>
  <c r="D16" i="31" l="1"/>
  <c r="D18" i="31" s="1"/>
  <c r="D22" i="31" s="1"/>
  <c r="D28" i="31" s="1"/>
  <c r="D30" i="31" l="1"/>
  <c r="D68" i="31"/>
  <c r="D62" i="31"/>
  <c r="E9" i="31"/>
  <c r="D47" i="32" l="1"/>
  <c r="D69" i="31"/>
  <c r="E16" i="31"/>
  <c r="E18" i="31" l="1"/>
  <c r="E22" i="31" l="1"/>
  <c r="E28" i="31" l="1"/>
  <c r="E30" i="31" s="1"/>
  <c r="E67" i="31"/>
  <c r="E62" i="31" l="1"/>
  <c r="E68" i="31"/>
  <c r="E47" i="32"/>
  <c r="E69" i="31"/>
  <c r="F26" i="31" l="1"/>
  <c r="F28" i="31" s="1"/>
  <c r="F29" i="31" l="1"/>
  <c r="F30" i="31" s="1"/>
  <c r="F7" i="57" s="1"/>
  <c r="F14" i="57" s="1"/>
  <c r="F25" i="57" s="1"/>
  <c r="F27" i="57" s="1"/>
  <c r="F20" i="58" l="1"/>
  <c r="F7" i="32"/>
  <c r="F10" i="32" s="1"/>
  <c r="F20" i="32" s="1"/>
  <c r="G26" i="57"/>
  <c r="G18" i="58" l="1"/>
  <c r="G20" i="58" l="1"/>
  <c r="G25" i="31" s="1"/>
  <c r="G26" i="31" s="1"/>
  <c r="G28" i="31" s="1"/>
  <c r="G29" i="31" s="1"/>
  <c r="G30" i="31" s="1"/>
  <c r="G7" i="57" s="1"/>
  <c r="G14" i="57" s="1"/>
  <c r="G25" i="57" s="1"/>
  <c r="G27" i="57" s="1"/>
  <c r="H26" i="57" l="1"/>
  <c r="H18" i="58" s="1"/>
  <c r="H20" i="58" s="1"/>
  <c r="H25" i="31" s="1"/>
  <c r="H26" i="31" s="1"/>
  <c r="H28" i="31" s="1"/>
  <c r="H29" i="31" s="1"/>
  <c r="H30" i="31" s="1"/>
  <c r="H7" i="57" s="1"/>
  <c r="H14" i="57" s="1"/>
  <c r="H25" i="57" s="1"/>
  <c r="H27" i="57" s="1"/>
  <c r="G7" i="32"/>
  <c r="G10" i="32" s="1"/>
  <c r="G20" i="32" s="1"/>
  <c r="I26" i="57" l="1"/>
  <c r="I18" i="58" s="1"/>
  <c r="I20" i="58" s="1"/>
  <c r="I25" i="31" s="1"/>
  <c r="I26" i="31" s="1"/>
  <c r="I28" i="31" s="1"/>
  <c r="I29" i="31" s="1"/>
  <c r="I30" i="31" s="1"/>
  <c r="I7" i="57" s="1"/>
  <c r="I14" i="57" s="1"/>
  <c r="I25" i="57" s="1"/>
  <c r="I27" i="57" s="1"/>
  <c r="I7" i="32" s="1"/>
  <c r="I10" i="32" s="1"/>
  <c r="I20" i="32" s="1"/>
  <c r="H7" i="32"/>
  <c r="H10" i="32" s="1"/>
  <c r="H20" i="32" s="1"/>
  <c r="J26" i="57" l="1"/>
  <c r="J18" i="58" s="1"/>
  <c r="J20" i="58" s="1"/>
  <c r="J25" i="31" s="1"/>
  <c r="J26" i="31" s="1"/>
  <c r="J28" i="31" s="1"/>
  <c r="J29" i="31" l="1"/>
  <c r="J30" i="31"/>
  <c r="J7" i="57" s="1"/>
  <c r="J14" i="57" s="1"/>
  <c r="J25" i="57" s="1"/>
  <c r="J27" i="57" s="1"/>
  <c r="J7" i="32" s="1"/>
  <c r="J10" i="32" s="1"/>
  <c r="J20" i="32" s="1"/>
</calcChain>
</file>

<file path=xl/sharedStrings.xml><?xml version="1.0" encoding="utf-8"?>
<sst xmlns="http://schemas.openxmlformats.org/spreadsheetml/2006/main" count="280" uniqueCount="144">
  <si>
    <t>Historicals</t>
  </si>
  <si>
    <t>Forecasts</t>
  </si>
  <si>
    <t>EBIT</t>
  </si>
  <si>
    <t>Assets</t>
  </si>
  <si>
    <t>(All Data is in Millions $, Except Per Share Information)</t>
  </si>
  <si>
    <t>Goodwill</t>
  </si>
  <si>
    <t>Net income</t>
  </si>
  <si>
    <t>Revenues</t>
  </si>
  <si>
    <t>Check</t>
  </si>
  <si>
    <t>Liabilities and Shareholders Equity</t>
  </si>
  <si>
    <t>Interest Expense</t>
  </si>
  <si>
    <t>EBITDA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</si>
  <si>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</si>
  <si>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</si>
  <si>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</si>
  <si>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</si>
  <si>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</si>
  <si>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</si>
  <si>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</si>
  <si>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</si>
  <si>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EBT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</si>
  <si>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</si>
  <si>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</si>
  <si>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</si>
  <si>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</si>
  <si>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</si>
  <si>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</si>
  <si>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</si>
  <si>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</si>
  <si>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</si>
  <si>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</si>
  <si>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</si>
  <si>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</si>
  <si>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Effective Tax Rate</t>
  </si>
  <si>
    <t>Net PPE</t>
  </si>
  <si>
    <t xml:space="preserve"> </t>
  </si>
  <si>
    <t>Additions to Intangibles</t>
  </si>
  <si>
    <t>Working Capital Balances</t>
  </si>
  <si>
    <t>Accounts Payable</t>
  </si>
  <si>
    <t xml:space="preserve">Turnover Ratios </t>
  </si>
  <si>
    <t>Cash Collection Cycle</t>
  </si>
  <si>
    <t>days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</si>
  <si>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</si>
  <si>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</si>
  <si>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</si>
  <si>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</si>
  <si>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</si>
  <si>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</si>
  <si>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</si>
  <si>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</si>
  <si>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</si>
  <si>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</si>
  <si>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</si>
  <si>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</si>
  <si>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</si>
  <si>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</si>
  <si>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</si>
  <si>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</si>
  <si>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</si>
  <si>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</si>
  <si>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</si>
  <si>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</si>
  <si>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</si>
  <si>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</si>
  <si>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Term Loan</t>
  </si>
  <si>
    <t>Average Oustanding</t>
  </si>
  <si>
    <t>Proceeds from/ (repayment of) Term Loan</t>
  </si>
  <si>
    <t>Cash &amp; Cash Equivalents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</si>
  <si>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</si>
  <si>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</si>
  <si>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</si>
  <si>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</si>
  <si>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</si>
  <si>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</si>
  <si>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</si>
  <si>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</si>
  <si>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</si>
  <si>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</si>
  <si>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</si>
  <si>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</si>
  <si>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</si>
  <si>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</si>
  <si>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</si>
  <si>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</si>
  <si>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</si>
  <si>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</si>
  <si>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</si>
  <si>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</si>
  <si>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</si>
  <si>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</si>
  <si>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</si>
  <si>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</si>
  <si>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</si>
  <si>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</si>
  <si>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</si>
  <si>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</si>
  <si>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</si>
  <si>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</si>
  <si>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</si>
  <si>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</si>
  <si>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</si>
  <si>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</si>
  <si>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</si>
  <si>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EBITDA Margin</t>
  </si>
  <si>
    <t>EBIT Margin</t>
  </si>
  <si>
    <t>EBT Margin</t>
  </si>
  <si>
    <t>Net Income Margin</t>
  </si>
  <si>
    <t>Liquidity Ratio</t>
  </si>
  <si>
    <t>Quick Ratio</t>
  </si>
  <si>
    <t>Cash Ratio</t>
  </si>
  <si>
    <t>Current Ratio (Current Assets / Current Liablities)</t>
  </si>
  <si>
    <t>Leverage Ratio</t>
  </si>
  <si>
    <t>Debt to Equity Ratio</t>
  </si>
  <si>
    <t>ROE (Net Income / Shareholders Equity)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</si>
  <si>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</si>
  <si>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</si>
  <si>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</si>
  <si>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</si>
  <si>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</si>
  <si>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</si>
  <si>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*For Cash &amp; Cash Equivalents we are using Beginning Cash Balance</t>
  </si>
  <si>
    <t>*We are assuming the year's interest income is based on the cash available at the start of the year</t>
  </si>
  <si>
    <t>Shareholders' Equity (Deficit)</t>
  </si>
  <si>
    <t>Current Liabilities</t>
  </si>
  <si>
    <t>Total Current Liabilities</t>
  </si>
  <si>
    <t>*We are assuming that management has made a decision of not buying back stock for now.</t>
  </si>
  <si>
    <t>*Hence, we assume that Treasury Stock remains the same in the years forecasted</t>
  </si>
  <si>
    <t>*Also, since there is not Follow on IPO we are assuming that the common stock forecasted for the future also remains the same</t>
  </si>
  <si>
    <t>*We are assuming that No Dividends were given and hence all of the net income was invested back into the company</t>
  </si>
  <si>
    <t>*Hence, Retained Earnings forecasted is equal to the sum of the previous year Retained Earning and Net Income</t>
  </si>
  <si>
    <t>Total Current Assets</t>
  </si>
  <si>
    <t>Current Assets</t>
  </si>
  <si>
    <t>Cash and Equivalents</t>
  </si>
  <si>
    <t>Other Assets</t>
  </si>
  <si>
    <t>Total Assets</t>
  </si>
  <si>
    <t>Total Other Assets</t>
  </si>
  <si>
    <t>Total Liabilities and Shareholders' Equity (Deficit)</t>
  </si>
  <si>
    <t>APEX SOLUTIONS INC</t>
  </si>
  <si>
    <t>Cash Balance</t>
  </si>
  <si>
    <t>Free Cash Flow</t>
  </si>
  <si>
    <t>FINANCIAL STATEMENT ANALYSIS DASHBOARD</t>
  </si>
  <si>
    <t>Year</t>
  </si>
  <si>
    <t>Software</t>
  </si>
  <si>
    <t>Revenue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</si>
</sst>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0.0%"/>
    <numFmt numFmtId="168" formatCode="&quot;FY&quot;\ 0"/>
    <numFmt numFmtId="169" formatCode="#,##0.0;\(#,##0.0\);\-"/>
    <numFmt numFmtId="170" formatCode="#,##0.00;\(#,##0.00\);\-"/>
    <numFmt numFmtId="171" formatCode="#,##0.0"/>
    <numFmt numFmtId="172" formatCode="0.0"/>
    <numFmt numFmtId="173" formatCode="#,##0.0;[Red]\-#,##0.0"/>
    <numFmt numFmtId="174" formatCode="[$$-409]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9" fillId="0" borderId="1">
      <alignment vertical="center"/>
    </xf>
    <xf numFmtId="169" fontId="1" fillId="2" borderId="2"/>
    <xf numFmtId="169" fontId="6" fillId="3" borderId="2"/>
    <xf numFmtId="167" fontId="6" fillId="3" borderId="2"/>
    <xf numFmtId="43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4" fillId="0" borderId="0"/>
  </cellStyleXfs>
  <cellXfs count="143">
    <xf numFmtId="0" fontId="0" fillId="0" borderId="0" xfId="0"/>
    <xf numFmtId="0" fontId="2" fillId="0" borderId="0" xfId="0" applyFont="1"/>
    <xf numFmtId="168" fontId="10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8" fontId="10" fillId="4" borderId="0" xfId="0" applyNumberFormat="1" applyFont="1" applyFill="1" applyAlignment="1">
      <alignment vertical="center"/>
    </xf>
    <xf numFmtId="0" fontId="10" fillId="4" borderId="0" xfId="0" applyFont="1" applyFill="1" applyAlignment="1">
      <alignment vertical="center" wrapText="1"/>
    </xf>
    <xf numFmtId="169" fontId="21" fillId="0" borderId="0" xfId="12" applyFont="1" applyBorder="1">
      <alignment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 indent="2"/>
    </xf>
    <xf numFmtId="169" fontId="23" fillId="0" borderId="0" xfId="12" applyFont="1" applyBorder="1">
      <alignment vertical="center"/>
    </xf>
    <xf numFmtId="0" fontId="12" fillId="0" borderId="0" xfId="0" applyFont="1" applyAlignment="1">
      <alignment horizontal="left" vertical="center" wrapText="1" indent="2"/>
    </xf>
    <xf numFmtId="169" fontId="16" fillId="0" borderId="0" xfId="12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/>
    <xf numFmtId="0" fontId="12" fillId="0" borderId="6" xfId="0" applyFont="1" applyBorder="1"/>
    <xf numFmtId="169" fontId="15" fillId="0" borderId="0" xfId="12" applyFont="1" applyBorder="1">
      <alignment vertical="center"/>
    </xf>
    <xf numFmtId="168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43" fontId="2" fillId="0" borderId="0" xfId="0" applyNumberFormat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2" fillId="0" borderId="5" xfId="0" applyFont="1" applyBorder="1" applyAlignment="1">
      <alignment horizontal="left" indent="1"/>
    </xf>
    <xf numFmtId="0" fontId="16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9" fontId="16" fillId="0" borderId="6" xfId="12" applyFont="1" applyBorder="1">
      <alignment vertical="center"/>
    </xf>
    <xf numFmtId="0" fontId="16" fillId="0" borderId="0" xfId="0" applyFont="1"/>
    <xf numFmtId="0" fontId="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12" fillId="0" borderId="9" xfId="0" applyFont="1" applyBorder="1"/>
    <xf numFmtId="172" fontId="12" fillId="0" borderId="6" xfId="0" applyNumberFormat="1" applyFont="1" applyBorder="1" applyAlignment="1">
      <alignment horizontal="right"/>
    </xf>
    <xf numFmtId="168" fontId="20" fillId="4" borderId="0" xfId="0" applyNumberFormat="1" applyFont="1" applyFill="1" applyAlignment="1">
      <alignment horizontal="center" vertical="center"/>
    </xf>
    <xf numFmtId="168" fontId="18" fillId="4" borderId="0" xfId="0" applyNumberFormat="1" applyFont="1" applyFill="1" applyAlignment="1">
      <alignment vertical="center"/>
    </xf>
    <xf numFmtId="0" fontId="2" fillId="5" borderId="0" xfId="0" applyFont="1" applyFill="1"/>
    <xf numFmtId="169" fontId="23" fillId="5" borderId="0" xfId="12" applyFont="1" applyFill="1" applyBorder="1">
      <alignment vertical="center"/>
    </xf>
    <xf numFmtId="0" fontId="16" fillId="5" borderId="0" xfId="0" applyFont="1" applyFill="1"/>
    <xf numFmtId="169" fontId="16" fillId="5" borderId="0" xfId="12" applyFont="1" applyFill="1" applyBorder="1">
      <alignment vertical="center"/>
    </xf>
    <xf numFmtId="0" fontId="12" fillId="6" borderId="4" xfId="0" applyFont="1" applyFill="1" applyBorder="1" applyAlignment="1">
      <alignment horizontal="left" vertical="center" wrapText="1" indent="2"/>
    </xf>
    <xf numFmtId="0" fontId="16" fillId="0" borderId="6" xfId="0" applyFont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12" fillId="6" borderId="4" xfId="0" applyFont="1" applyFill="1" applyBorder="1"/>
    <xf numFmtId="169" fontId="26" fillId="6" borderId="4" xfId="12" applyFont="1" applyFill="1" applyBorder="1">
      <alignment vertical="center"/>
    </xf>
    <xf numFmtId="0" fontId="14" fillId="6" borderId="4" xfId="0" applyFont="1" applyFill="1" applyBorder="1" applyAlignment="1">
      <alignment vertical="center" wrapText="1"/>
    </xf>
    <xf numFmtId="0" fontId="12" fillId="0" borderId="3" xfId="0" applyFont="1" applyBorder="1" applyAlignment="1">
      <alignment horizontal="left" vertical="center" indent="2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7" fontId="22" fillId="0" borderId="0" xfId="2" applyNumberFormat="1" applyFont="1" applyBorder="1" applyAlignment="1">
      <alignment vertical="center"/>
    </xf>
    <xf numFmtId="172" fontId="16" fillId="0" borderId="0" xfId="12" applyNumberFormat="1" applyFont="1" applyBorder="1">
      <alignment vertical="center"/>
    </xf>
    <xf numFmtId="169" fontId="22" fillId="0" borderId="0" xfId="12" applyFont="1" applyBorder="1" applyAlignment="1">
      <alignment horizontal="right" vertical="center"/>
    </xf>
    <xf numFmtId="169" fontId="15" fillId="0" borderId="0" xfId="12" applyFont="1" applyBorder="1" applyAlignment="1">
      <alignment horizontal="right" vertical="center"/>
    </xf>
    <xf numFmtId="166" fontId="12" fillId="0" borderId="3" xfId="1" applyNumberFormat="1" applyFont="1" applyFill="1" applyBorder="1" applyAlignment="1">
      <alignment horizontal="right" vertical="center" wrapText="1"/>
    </xf>
    <xf numFmtId="170" fontId="17" fillId="0" borderId="0" xfId="12" applyNumberFormat="1" applyFont="1" applyBorder="1" applyAlignment="1">
      <alignment horizontal="right" vertical="center"/>
    </xf>
    <xf numFmtId="166" fontId="12" fillId="0" borderId="0" xfId="1" applyNumberFormat="1" applyFont="1" applyFill="1" applyBorder="1" applyAlignment="1">
      <alignment horizontal="right" vertical="center" wrapText="1"/>
    </xf>
    <xf numFmtId="169" fontId="21" fillId="0" borderId="0" xfId="12" applyFont="1" applyBorder="1" applyAlignment="1">
      <alignment horizontal="right" vertical="center"/>
    </xf>
    <xf numFmtId="169" fontId="23" fillId="0" borderId="0" xfId="12" applyFont="1" applyBorder="1" applyAlignment="1">
      <alignment horizontal="right" vertical="center"/>
    </xf>
    <xf numFmtId="171" fontId="12" fillId="0" borderId="3" xfId="0" applyNumberFormat="1" applyFont="1" applyBorder="1" applyAlignment="1">
      <alignment horizontal="right" vertical="center" wrapText="1"/>
    </xf>
    <xf numFmtId="171" fontId="12" fillId="6" borderId="4" xfId="0" applyNumberFormat="1" applyFont="1" applyFill="1" applyBorder="1" applyAlignment="1">
      <alignment horizontal="right" vertical="center" wrapText="1"/>
    </xf>
    <xf numFmtId="171" fontId="12" fillId="0" borderId="0" xfId="0" applyNumberFormat="1" applyFont="1" applyAlignment="1">
      <alignment horizontal="right" vertical="center" wrapText="1"/>
    </xf>
    <xf numFmtId="167" fontId="21" fillId="0" borderId="0" xfId="2" applyNumberFormat="1" applyFont="1" applyFill="1" applyBorder="1" applyAlignment="1">
      <alignment horizontal="right" vertical="center"/>
    </xf>
    <xf numFmtId="167" fontId="15" fillId="0" borderId="0" xfId="2" applyNumberFormat="1" applyFont="1" applyFill="1" applyBorder="1" applyAlignment="1">
      <alignment horizontal="right" vertical="center"/>
    </xf>
    <xf numFmtId="169" fontId="15" fillId="0" borderId="5" xfId="12" applyFont="1" applyBorder="1" applyAlignment="1">
      <alignment horizontal="right" vertical="center"/>
    </xf>
    <xf numFmtId="167" fontId="12" fillId="0" borderId="0" xfId="2" applyNumberFormat="1" applyFont="1" applyFill="1" applyBorder="1" applyAlignment="1">
      <alignment horizontal="right"/>
    </xf>
    <xf numFmtId="170" fontId="2" fillId="0" borderId="0" xfId="0" applyNumberFormat="1" applyFont="1" applyAlignment="1">
      <alignment horizontal="right" vertical="center"/>
    </xf>
    <xf numFmtId="169" fontId="16" fillId="0" borderId="5" xfId="12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2" fontId="22" fillId="0" borderId="0" xfId="12" applyNumberFormat="1" applyFont="1" applyBorder="1" applyAlignment="1">
      <alignment horizontal="right" vertical="center"/>
    </xf>
    <xf numFmtId="167" fontId="12" fillId="0" borderId="0" xfId="2" applyNumberFormat="1" applyFont="1" applyAlignment="1">
      <alignment vertical="center" wrapText="1"/>
    </xf>
    <xf numFmtId="169" fontId="12" fillId="0" borderId="3" xfId="0" applyNumberFormat="1" applyFont="1" applyBorder="1" applyAlignment="1">
      <alignment horizontal="right" vertical="center"/>
    </xf>
    <xf numFmtId="169" fontId="12" fillId="0" borderId="0" xfId="0" applyNumberFormat="1" applyFont="1" applyAlignment="1">
      <alignment horizontal="right" vertical="center"/>
    </xf>
    <xf numFmtId="166" fontId="23" fillId="0" borderId="0" xfId="1" applyNumberFormat="1" applyFont="1" applyFill="1" applyBorder="1" applyAlignment="1">
      <alignment horizontal="right" vertical="center"/>
    </xf>
    <xf numFmtId="166" fontId="16" fillId="0" borderId="0" xfId="1" applyNumberFormat="1" applyFont="1" applyFill="1" applyBorder="1" applyAlignment="1">
      <alignment horizontal="right" vertical="center"/>
    </xf>
    <xf numFmtId="166" fontId="12" fillId="6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9" fontId="16" fillId="0" borderId="3" xfId="12" applyFont="1" applyBorder="1" applyAlignment="1">
      <alignment horizontal="right" vertical="center"/>
    </xf>
    <xf numFmtId="169" fontId="16" fillId="0" borderId="0" xfId="12" applyFont="1" applyBorder="1" applyAlignment="1">
      <alignment horizontal="right" vertical="center"/>
    </xf>
    <xf numFmtId="166" fontId="16" fillId="0" borderId="6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169" fontId="16" fillId="0" borderId="6" xfId="12" applyFont="1" applyBorder="1" applyAlignment="1">
      <alignment horizontal="right" vertical="center"/>
    </xf>
    <xf numFmtId="169" fontId="16" fillId="6" borderId="4" xfId="12" applyFont="1" applyFill="1" applyBorder="1">
      <alignment vertical="center"/>
    </xf>
    <xf numFmtId="169" fontId="13" fillId="0" borderId="0" xfId="12" applyFont="1" applyBorder="1" applyAlignment="1">
      <alignment horizontal="right" vertical="center"/>
    </xf>
    <xf numFmtId="169" fontId="25" fillId="0" borderId="0" xfId="12" applyFont="1" applyBorder="1" applyAlignment="1">
      <alignment horizontal="right" vertical="center"/>
    </xf>
    <xf numFmtId="169" fontId="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169" fontId="26" fillId="0" borderId="6" xfId="12" applyFont="1" applyBorder="1" applyAlignment="1">
      <alignment horizontal="right" vertical="center"/>
    </xf>
    <xf numFmtId="167" fontId="22" fillId="0" borderId="0" xfId="2" applyNumberFormat="1" applyFont="1" applyFill="1" applyBorder="1" applyAlignment="1">
      <alignment horizontal="right" vertical="center"/>
    </xf>
    <xf numFmtId="0" fontId="27" fillId="0" borderId="0" xfId="0" applyFont="1"/>
    <xf numFmtId="0" fontId="2" fillId="0" borderId="0" xfId="0" applyFont="1" applyAlignment="1">
      <alignment horizontal="left"/>
    </xf>
    <xf numFmtId="0" fontId="16" fillId="6" borderId="4" xfId="0" applyFont="1" applyFill="1" applyBorder="1" applyAlignment="1">
      <alignment vertical="center" wrapText="1"/>
    </xf>
    <xf numFmtId="43" fontId="2" fillId="0" borderId="0" xfId="0" applyNumberFormat="1" applyFont="1" applyAlignment="1">
      <alignment horizontal="left" vertical="center" indent="2"/>
    </xf>
    <xf numFmtId="0" fontId="23" fillId="0" borderId="0" xfId="0" applyFont="1" applyAlignment="1">
      <alignment vertical="center"/>
    </xf>
    <xf numFmtId="167" fontId="2" fillId="0" borderId="0" xfId="2" applyNumberFormat="1" applyFont="1" applyAlignment="1">
      <alignment horizontal="right" vertical="center"/>
    </xf>
    <xf numFmtId="165" fontId="2" fillId="0" borderId="0" xfId="1" applyFont="1" applyAlignment="1">
      <alignment horizontal="right"/>
    </xf>
    <xf numFmtId="43" fontId="2" fillId="0" borderId="0" xfId="0" applyNumberFormat="1" applyFont="1" applyAlignment="1">
      <alignment horizontal="right"/>
    </xf>
    <xf numFmtId="167" fontId="2" fillId="0" borderId="0" xfId="2" applyNumberFormat="1" applyFont="1" applyAlignment="1">
      <alignment horizontal="right"/>
    </xf>
    <xf numFmtId="173" fontId="28" fillId="0" borderId="0" xfId="0" applyNumberFormat="1" applyFont="1"/>
    <xf numFmtId="169" fontId="12" fillId="0" borderId="0" xfId="0" applyNumberFormat="1" applyFont="1" applyAlignment="1">
      <alignment horizontal="right"/>
    </xf>
    <xf numFmtId="172" fontId="23" fillId="0" borderId="0" xfId="12" applyNumberFormat="1" applyFont="1" applyBorder="1" applyAlignment="1">
      <alignment horizontal="right" vertical="center"/>
    </xf>
    <xf numFmtId="169" fontId="2" fillId="0" borderId="0" xfId="0" applyNumberFormat="1" applyFont="1"/>
    <xf numFmtId="0" fontId="0" fillId="7" borderId="0" xfId="0" applyFill="1"/>
    <xf numFmtId="0" fontId="33" fillId="7" borderId="0" xfId="0" applyFont="1" applyFill="1" applyAlignment="1">
      <alignment vertical="center"/>
    </xf>
    <xf numFmtId="174" fontId="30" fillId="7" borderId="0" xfId="0" applyNumberFormat="1" applyFont="1" applyFill="1" applyAlignment="1">
      <alignment vertical="center"/>
    </xf>
    <xf numFmtId="0" fontId="31" fillId="7" borderId="0" xfId="0" applyFont="1" applyFill="1" applyAlignment="1">
      <alignment vertical="center"/>
    </xf>
    <xf numFmtId="0" fontId="30" fillId="7" borderId="0" xfId="0" applyFont="1" applyFill="1" applyAlignment="1">
      <alignment vertical="center"/>
    </xf>
    <xf numFmtId="174" fontId="0" fillId="7" borderId="0" xfId="0" applyNumberFormat="1" applyFill="1"/>
    <xf numFmtId="10" fontId="30" fillId="2" borderId="13" xfId="0" applyNumberFormat="1" applyFont="1" applyFill="1" applyBorder="1" applyAlignment="1">
      <alignment horizontal="center" vertical="center"/>
    </xf>
    <xf numFmtId="10" fontId="30" fillId="2" borderId="0" xfId="0" applyNumberFormat="1" applyFont="1" applyFill="1" applyAlignment="1">
      <alignment horizontal="center" vertical="center"/>
    </xf>
    <xf numFmtId="10" fontId="30" fillId="2" borderId="14" xfId="0" applyNumberFormat="1" applyFont="1" applyFill="1" applyBorder="1" applyAlignment="1">
      <alignment horizontal="center" vertical="center"/>
    </xf>
    <xf numFmtId="10" fontId="30" fillId="2" borderId="15" xfId="0" applyNumberFormat="1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0" fontId="33" fillId="2" borderId="1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2" borderId="14" xfId="0" applyFont="1" applyFill="1" applyBorder="1" applyAlignment="1">
      <alignment horizontal="center" vertical="center"/>
    </xf>
    <xf numFmtId="174" fontId="30" fillId="2" borderId="13" xfId="0" applyNumberFormat="1" applyFont="1" applyFill="1" applyBorder="1" applyAlignment="1">
      <alignment horizontal="center" vertical="center"/>
    </xf>
    <xf numFmtId="174" fontId="30" fillId="2" borderId="0" xfId="0" applyNumberFormat="1" applyFont="1" applyFill="1" applyAlignment="1">
      <alignment horizontal="center" vertical="center"/>
    </xf>
    <xf numFmtId="174" fontId="30" fillId="2" borderId="14" xfId="0" applyNumberFormat="1" applyFont="1" applyFill="1" applyBorder="1" applyAlignment="1">
      <alignment horizontal="center" vertical="center"/>
    </xf>
    <xf numFmtId="174" fontId="30" fillId="2" borderId="15" xfId="0" applyNumberFormat="1" applyFont="1" applyFill="1" applyBorder="1" applyAlignment="1">
      <alignment horizontal="center" vertical="center"/>
    </xf>
    <xf numFmtId="174" fontId="30" fillId="2" borderId="16" xfId="0" applyNumberFormat="1" applyFont="1" applyFill="1" applyBorder="1" applyAlignment="1">
      <alignment horizontal="center" vertical="center"/>
    </xf>
    <xf numFmtId="174" fontId="30" fillId="2" borderId="17" xfId="0" applyNumberFormat="1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</cellXfs>
  <cellStyles count="22">
    <cellStyle name="Assume #" xfId="14" xr:uid="{00000000-0005-0000-0000-000000000000}"/>
    <cellStyle name="Assume %" xfId="15" xr:uid="{00000000-0005-0000-0000-000001000000}"/>
    <cellStyle name="Comma" xfId="1" builtinId="3"/>
    <cellStyle name="Comma 2" xfId="5" xr:uid="{00000000-0005-0000-0000-000003000000}"/>
    <cellStyle name="Comma 2 2" xfId="17" xr:uid="{00000000-0005-0000-0000-000004000000}"/>
    <cellStyle name="Comma 3" xfId="6" xr:uid="{00000000-0005-0000-0000-000005000000}"/>
    <cellStyle name="Comma 4" xfId="11" xr:uid="{00000000-0005-0000-0000-000006000000}"/>
    <cellStyle name="Comma 5" xfId="16" xr:uid="{00000000-0005-0000-0000-000007000000}"/>
    <cellStyle name="Currency 2" xfId="4" xr:uid="{00000000-0005-0000-0000-000009000000}"/>
    <cellStyle name="Currency 3" xfId="9" xr:uid="{00000000-0005-0000-0000-00000A000000}"/>
    <cellStyle name="Estimates" xfId="13" xr:uid="{00000000-0005-0000-0000-00000B000000}"/>
    <cellStyle name="GivenData" xfId="12" xr:uid="{00000000-0005-0000-0000-00000C000000}"/>
    <cellStyle name="Normal" xfId="0" builtinId="0"/>
    <cellStyle name="Normal 2" xfId="3" xr:uid="{00000000-0005-0000-0000-00000F000000}"/>
    <cellStyle name="Normal 2 2" xfId="18" xr:uid="{00000000-0005-0000-0000-000010000000}"/>
    <cellStyle name="Normal 2 2 2" xfId="20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19" xr:uid="{00000000-0005-0000-0000-000015000000}"/>
    <cellStyle name="Percent 3" xfId="10" xr:uid="{00000000-0005-0000-0000-000016000000}"/>
    <cellStyle name="TTS" xfId="21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Tables!$V$3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Tables!$U$4:$U$8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Tables!$V$4:$V$8</c:f>
              <c:numCache>
                <c:formatCode>[$$-409]#,##0</c:formatCode>
                <c:ptCount val="5"/>
                <c:pt idx="0">
                  <c:v>49683.37590547945</c:v>
                </c:pt>
                <c:pt idx="1">
                  <c:v>60634.187379729839</c:v>
                </c:pt>
                <c:pt idx="2">
                  <c:v>74187.242464334719</c:v>
                </c:pt>
                <c:pt idx="3">
                  <c:v>90843.967459695792</c:v>
                </c:pt>
                <c:pt idx="4">
                  <c:v>111229.89422329568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7-4C3F-B55E-1BE3C482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914047"/>
        <c:axId val="153290972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Dashboard!$E$60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Tables!$U$4:$U$8</c15:sqref>
                        </c15:formulaRef>
                      </c:ext>
                    </c:extLst>
                    <c:strCache>
                      <c:ptCount val="5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Dashboard!$E$61:$E$65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817-4C3F-B55E-1BE3C48291F1}"/>
                  </c:ext>
                </c:extLst>
              </c15:ser>
            </c15:filteredBarSeries>
          </c:ext>
        </c:extLst>
      </c:barChart>
      <c:catAx>
        <c:axId val="153291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09727"/>
        <c:crosses val="autoZero"/>
        <c:auto val="1"/>
        <c:lblAlgn val="ctr"/>
        <c:lblOffset val="100"/>
        <c:noMultiLvlLbl val="0"/>
      </c:catAx>
      <c:valAx>
        <c:axId val="1532909727"/>
        <c:scaling>
          <c:orientation val="minMax"/>
        </c:scaling>
        <c:delete val="0"/>
        <c:axPos val="b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1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Tables!$S$3</c:f>
              <c:strCache>
                <c:ptCount val="1"/>
                <c:pt idx="0">
                  <c:v>Total Debt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Tables!$R$4:$R$8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Tables!$S$4:$S$8</c:f>
              <c:numCache>
                <c:formatCode>[$$-409]#,##0</c:formatCode>
                <c:ptCount val="5"/>
                <c:pt idx="0">
                  <c:v>24200</c:v>
                </c:pt>
                <c:pt idx="1">
                  <c:v>23200</c:v>
                </c:pt>
                <c:pt idx="2">
                  <c:v>22200</c:v>
                </c:pt>
                <c:pt idx="3">
                  <c:v>21200</c:v>
                </c:pt>
                <c:pt idx="4">
                  <c:v>20200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A-464F-AEF0-63B43AFB5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806975"/>
        <c:axId val="980806015"/>
      </c:barChart>
      <c:catAx>
        <c:axId val="98080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06015"/>
        <c:crosses val="autoZero"/>
        <c:auto val="1"/>
        <c:lblAlgn val="ctr"/>
        <c:lblOffset val="100"/>
        <c:noMultiLvlLbl val="0"/>
      </c:catAx>
      <c:valAx>
        <c:axId val="980806015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0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Net Income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Tables!$I$3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Tables!$H$4:$H$8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Tables!$I$4:$I$8</c:f>
              <c:numCache>
                <c:formatCode>[$$-409]#,##0</c:formatCode>
                <c:ptCount val="5"/>
                <c:pt idx="0">
                  <c:v>9297.2867000000006</c:v>
                </c:pt>
                <c:pt idx="1">
                  <c:v>11396.32473233258</c:v>
                </c:pt>
                <c:pt idx="2">
                  <c:v>13894.874438730907</c:v>
                </c:pt>
                <c:pt idx="3">
                  <c:v>16875.330180188685</c:v>
                </c:pt>
                <c:pt idx="4">
                  <c:v>20458.100296771547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8-41D8-B885-331C195B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741775"/>
        <c:axId val="1292736495"/>
      </c:lineChart>
      <c:catAx>
        <c:axId val="129274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36495"/>
        <c:crosses val="autoZero"/>
        <c:auto val="1"/>
        <c:lblAlgn val="ctr"/>
        <c:lblOffset val="100"/>
        <c:noMultiLvlLbl val="0"/>
      </c:catAx>
      <c:valAx>
        <c:axId val="1292736495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4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Tables!$L$3</c:f>
              <c:strCache>
                <c:ptCount val="1"/>
                <c:pt idx="0">
                  <c:v>Total Operating Costs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Tables!$K$4:$K$8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Tables!$L$4:$L$8</c:f>
              <c:numCache>
                <c:formatCode>[$$-409]#,##0</c:formatCode>
                <c:ptCount val="5"/>
                <c:pt idx="0">
                  <c:v>22706.720000000001</c:v>
                </c:pt>
                <c:pt idx="1">
                  <c:v>26923.1296</c:v>
                </c:pt>
                <c:pt idx="2">
                  <c:v>31928.044927999999</c:v>
                </c:pt>
                <c:pt idx="3">
                  <c:v>37869.901335039998</c:v>
                </c:pt>
                <c:pt idx="4">
                  <c:v>44925.248426547194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8-4670-98D8-69A91116E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292399"/>
        <c:axId val="125827943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Tables!$M$3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Tables!$K$4:$K$8</c15:sqref>
                        </c15:formulaRef>
                      </c:ext>
                    </c:extLst>
                    <c:strCache>
                      <c:ptCount val="5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Tables!$M$4:$M$8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D78-4670-98D8-69A91116E8CE}"/>
                  </c:ext>
                </c:extLst>
              </c15:ser>
            </c15:filteredBarSeries>
          </c:ext>
        </c:extLst>
      </c:barChart>
      <c:catAx>
        <c:axId val="125829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79439"/>
        <c:crosses val="autoZero"/>
        <c:auto val="1"/>
        <c:lblAlgn val="ctr"/>
        <c:lblOffset val="100"/>
        <c:noMultiLvlLbl val="0"/>
      </c:catAx>
      <c:valAx>
        <c:axId val="1258279439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9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Tables!$P$3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Tables!$O$4:$O$8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Tables!$P$4:$P$8</c:f>
              <c:numCache>
                <c:formatCode>[$$-409]#,##0</c:formatCode>
                <c:ptCount val="5"/>
                <c:pt idx="0">
                  <c:v>45994</c:v>
                </c:pt>
                <c:pt idx="1">
                  <c:v>54531.320000000007</c:v>
                </c:pt>
                <c:pt idx="2">
                  <c:v>64664.461600000002</c:v>
                </c:pt>
                <c:pt idx="3">
                  <c:v>76693.681327999991</c:v>
                </c:pt>
                <c:pt idx="4">
                  <c:v>90976.073669439997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1-4C02-BF96-9E29AD08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8301263"/>
        <c:axId val="117829694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Tables!$Q$3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Tables!$O$4:$O$8</c15:sqref>
                        </c15:formulaRef>
                      </c:ext>
                    </c:extLst>
                    <c:strCache>
                      <c:ptCount val="5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Tables!$Q$4:$Q$8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091-4C02-BF96-9E29AD086A9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Dashboard!$V$50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Tables!$O$4:$O$8</c15:sqref>
                        </c15:formulaRef>
                      </c:ext>
                    </c:extLst>
                    <c:strCache>
                      <c:ptCount val="5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Dashboard!$V$51:$V$55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091-4C02-BF96-9E29AD086A92}"/>
                  </c:ext>
                </c:extLst>
              </c15:ser>
            </c15:filteredBarSeries>
          </c:ext>
        </c:extLst>
      </c:barChart>
      <c:catAx>
        <c:axId val="117830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96943"/>
        <c:crosses val="autoZero"/>
        <c:auto val="1"/>
        <c:lblAlgn val="ctr"/>
        <c:lblOffset val="100"/>
        <c:noMultiLvlLbl val="0"/>
      </c:catAx>
      <c:valAx>
        <c:axId val="1178296943"/>
        <c:scaling>
          <c:orientation val="minMax"/>
        </c:scaling>
        <c:delete val="0"/>
        <c:axPos val="b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0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Revenue By Business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Tables!$C$3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Tables!$C$4:$C$8</c:f>
              <c:numCache>
                <c:formatCode>[$$-409]#,##0</c:formatCode>
                <c:ptCount val="5"/>
                <c:pt idx="0">
                  <c:v>22200</c:v>
                </c:pt>
                <c:pt idx="1">
                  <c:v>26640</c:v>
                </c:pt>
                <c:pt idx="2">
                  <c:v>31968</c:v>
                </c:pt>
                <c:pt idx="3">
                  <c:v>38361.599999999999</c:v>
                </c:pt>
                <c:pt idx="4">
                  <c:v>46033.919999999998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A-4BB3-AEF7-BEDC27D93E16}"/>
            </c:ext>
          </c:extLst>
        </c:ser>
        <c:ser>
          <c:idx val="2"/>
          <c:order val="2"/>
          <c:tx>
            <c:strRef>
              <c:f>Tables!$E$3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Tables!$E$4:$E$8</c:f>
              <c:numCache>
                <c:formatCode>[$$-409]#,##0</c:formatCode>
                <c:ptCount val="5"/>
                <c:pt idx="0">
                  <c:v>14514</c:v>
                </c:pt>
                <c:pt idx="1">
                  <c:v>17126.52</c:v>
                </c:pt>
                <c:pt idx="2">
                  <c:v>20209.293600000001</c:v>
                </c:pt>
                <c:pt idx="3">
                  <c:v>23846.966447999999</c:v>
                </c:pt>
                <c:pt idx="4">
                  <c:v>28139.420408639999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A-4BB3-AEF7-BEDC27D93E16}"/>
            </c:ext>
          </c:extLst>
        </c:ser>
        <c:ser>
          <c:idx val="3"/>
          <c:order val="3"/>
          <c:tx>
            <c:strRef>
              <c:f>Tables!$F$3</c:f>
              <c:strCache>
                <c:ptCount val="1"/>
                <c:pt idx="0">
                  <c:v>IT Services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strRef>
              <c:f>Tables!$B$4:$B$8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Tables!$F$4:$F$8</c:f>
              <c:numCache>
                <c:formatCode>[$$-409]#,##0</c:formatCode>
                <c:ptCount val="5"/>
                <c:pt idx="0">
                  <c:v>9280</c:v>
                </c:pt>
                <c:pt idx="1">
                  <c:v>10764.8</c:v>
                </c:pt>
                <c:pt idx="2">
                  <c:v>12487.167999999998</c:v>
                </c:pt>
                <c:pt idx="3">
                  <c:v>14485.114879999997</c:v>
                </c:pt>
                <c:pt idx="4">
                  <c:v>16802.733260799996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3A-4BB3-AEF7-BEDC27D9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286159"/>
        <c:axId val="125829239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Tables!$D$3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Tables!$B$4:$B$8</c15:sqref>
                        </c15:formulaRef>
                      </c:ext>
                    </c:extLst>
                    <c:strCache>
                      <c:ptCount val="5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Tables!$D$4:$D$8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3-883A-4BB3-AEF7-BEDC27D93E16}"/>
                  </c:ext>
                </c:extLst>
              </c15:ser>
            </c15:filteredBarSeries>
          </c:ext>
        </c:extLst>
      </c:barChart>
      <c:catAx>
        <c:axId val="125828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92399"/>
        <c:crosses val="autoZero"/>
        <c:auto val="1"/>
        <c:lblAlgn val="ctr"/>
        <c:lblOffset val="100"/>
        <c:noMultiLvlLbl val="0"/>
      </c:catAx>
      <c:valAx>
        <c:axId val="1258292399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8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518160</xdr:colOff>
      <xdr:row>25</xdr:row>
      <xdr:rowOff>68580</xdr:rowOff>
    </xdr:from>
    <xdr:to>
      <xdr:col>25</xdr:col>
      <xdr:colOff>541020</xdr:colOff>
      <xdr:row>40</xdr:row>
      <xdr:rowOff>99060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979EA09-8BDC-47BA-8A79-EEE59A5DB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579120</xdr:colOff>
      <xdr:row>25</xdr:row>
      <xdr:rowOff>106680</xdr:rowOff>
    </xdr:from>
    <xdr:to>
      <xdr:col>17</xdr:col>
      <xdr:colOff>350520</xdr:colOff>
      <xdr:row>40</xdr:row>
      <xdr:rowOff>83820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3FDC456-6E0E-448B-976B-E1239A922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</xdr:colOff>
      <xdr:row>25</xdr:row>
      <xdr:rowOff>121920</xdr:rowOff>
    </xdr:from>
    <xdr:to>
      <xdr:col>7</xdr:col>
      <xdr:colOff>472440</xdr:colOff>
      <xdr:row>40</xdr:row>
      <xdr:rowOff>64770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B2012AD-4550-40EB-943C-26E438585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9</xdr:row>
      <xdr:rowOff>137160</xdr:rowOff>
    </xdr:from>
    <xdr:to>
      <xdr:col>17</xdr:col>
      <xdr:colOff>358140</xdr:colOff>
      <xdr:row>24</xdr:row>
      <xdr:rowOff>114300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B550D65-F268-4F7B-BF05-63B2C7305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83820</xdr:colOff>
      <xdr:row>9</xdr:row>
      <xdr:rowOff>121920</xdr:rowOff>
    </xdr:from>
    <xdr:to>
      <xdr:col>8</xdr:col>
      <xdr:colOff>45720</xdr:colOff>
      <xdr:row>24</xdr:row>
      <xdr:rowOff>129540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2338EB4-C89E-4ED3-AED8-DE2D00FAE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419100</xdr:colOff>
      <xdr:row>9</xdr:row>
      <xdr:rowOff>114300</xdr:rowOff>
    </xdr:from>
    <xdr:to>
      <xdr:col>26</xdr:col>
      <xdr:colOff>106680</xdr:colOff>
      <xdr:row>24</xdr:row>
      <xdr:rowOff>106680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3D54F322-D0E8-4502-A8D6-57A2F8F0A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81"/>
  <sheetViews>
    <sheetView showGridLines="0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7" sqref="L7"/>
    </sheetView>
  </sheetViews>
  <sheetFormatPr defaultColWidth="8.6640625" defaultRowHeight="13.8" zeroHeight="1"/>
  <cols>
    <col min="1" max="1" width="3.5546875" style="5" customWidth="1"/>
    <col min="2" max="2" width="48.88671875" style="15" customWidth="1"/>
    <col min="3" max="3" width="14.109375" style="5" bestFit="1" customWidth="1"/>
    <col min="4" max="5" width="11.6640625" style="5" bestFit="1" customWidth="1"/>
    <col min="6" max="8" width="13.109375" style="5" bestFit="1" customWidth="1"/>
    <col min="9" max="9" width="14.5546875" style="5" customWidth="1"/>
    <col min="10" max="10" width="13.109375" style="5" bestFit="1" customWidth="1"/>
    <col min="11" max="16384" width="8.6640625" style="5"/>
  </cols>
  <sheetData>
    <row r="1" spans="1:14" ht="33.75" customHeight="1">
      <c r="A1" s="39" t="s">
        <v>78</v>
      </c>
      <c r="B1" s="6"/>
      <c r="C1" s="142" t="s">
        <v>0</v>
      </c>
      <c r="D1" s="142"/>
      <c r="E1" s="142"/>
      <c r="F1" s="142" t="s">
        <v>1</v>
      </c>
      <c r="G1" s="142"/>
      <c r="H1" s="142"/>
      <c r="I1" s="142"/>
      <c r="J1" s="142"/>
    </row>
    <row r="2" spans="1:14" ht="14.4">
      <c r="A2" s="3" t="s">
        <v>4</v>
      </c>
      <c r="B2" s="7"/>
      <c r="C2" s="38" t="s">
        <v>73</v>
      </c>
      <c r="D2" s="38" t="s">
        <v>74</v>
      </c>
      <c r="E2" s="38" t="s">
        <v>75</v>
      </c>
      <c r="F2" s="2" t="s">
        <v>23</v>
      </c>
      <c r="G2" s="2" t="s">
        <v>24</v>
      </c>
      <c r="H2" s="2" t="s">
        <v>30</v>
      </c>
      <c r="I2" s="2" t="s">
        <v>31</v>
      </c>
      <c r="J2" s="2" t="s">
        <v>32</v>
      </c>
    </row>
    <row r="3" spans="1:14" ht="14.4">
      <c r="A3" s="4"/>
      <c r="B3" s="21"/>
      <c r="C3" s="20"/>
      <c r="D3" s="20"/>
      <c r="E3" s="20"/>
      <c r="F3" s="20"/>
      <c r="G3" s="20"/>
      <c r="H3" s="20"/>
      <c r="I3" s="20"/>
      <c r="J3" s="20"/>
    </row>
    <row r="4" spans="1:14" ht="14.4">
      <c r="A4" s="4"/>
      <c r="B4" s="21"/>
      <c r="C4" s="20"/>
      <c r="D4" s="20"/>
      <c r="E4" s="20"/>
      <c r="F4" s="20"/>
      <c r="G4" s="20"/>
      <c r="H4" s="20"/>
      <c r="I4" s="20"/>
      <c r="J4" s="20"/>
    </row>
    <row r="5" spans="1:14">
      <c r="B5" s="22" t="s">
        <v>7</v>
      </c>
      <c r="C5" s="15"/>
      <c r="D5" s="15"/>
      <c r="E5" s="15"/>
      <c r="K5" s="8"/>
      <c r="L5" s="8"/>
      <c r="M5" s="8"/>
    </row>
    <row r="6" spans="1:14">
      <c r="B6" s="14" t="s">
        <v>94</v>
      </c>
      <c r="C6" s="56">
        <v>12000</v>
      </c>
      <c r="D6" s="56">
        <v>15000</v>
      </c>
      <c r="E6" s="56">
        <v>18500</v>
      </c>
      <c r="F6" s="57">
        <f>E6*(1+F35)</f>
        <v>22200</v>
      </c>
      <c r="G6" s="57">
        <f t="shared" ref="G6:J6" si="0">F6*(1+G35)</f>
        <v>26640</v>
      </c>
      <c r="H6" s="57">
        <f t="shared" si="0"/>
        <v>31968</v>
      </c>
      <c r="I6" s="57">
        <f t="shared" si="0"/>
        <v>38361.599999999999</v>
      </c>
      <c r="J6" s="57">
        <f t="shared" si="0"/>
        <v>46033.919999999998</v>
      </c>
      <c r="L6" s="96"/>
      <c r="M6" s="8"/>
    </row>
    <row r="7" spans="1:14">
      <c r="B7" s="14" t="s">
        <v>95</v>
      </c>
      <c r="C7" s="56">
        <v>8500</v>
      </c>
      <c r="D7" s="56">
        <v>10200</v>
      </c>
      <c r="E7" s="56">
        <v>12300</v>
      </c>
      <c r="F7" s="57">
        <f>E7*(1+F36)</f>
        <v>14514</v>
      </c>
      <c r="G7" s="57">
        <f t="shared" ref="G7:J7" si="1">F7*(1+G36)</f>
        <v>17126.52</v>
      </c>
      <c r="H7" s="57">
        <f t="shared" si="1"/>
        <v>20209.293600000001</v>
      </c>
      <c r="I7" s="57">
        <f t="shared" si="1"/>
        <v>23846.966447999999</v>
      </c>
      <c r="J7" s="57">
        <f t="shared" si="1"/>
        <v>28139.420408639999</v>
      </c>
      <c r="K7" s="97"/>
      <c r="L7" s="96"/>
      <c r="M7" s="8"/>
    </row>
    <row r="8" spans="1:14">
      <c r="B8" s="14" t="s">
        <v>79</v>
      </c>
      <c r="C8" s="56">
        <v>5000</v>
      </c>
      <c r="D8" s="56">
        <v>6500</v>
      </c>
      <c r="E8" s="56">
        <v>8000</v>
      </c>
      <c r="F8" s="57">
        <f>E8*(1+F37)</f>
        <v>9280</v>
      </c>
      <c r="G8" s="57">
        <f t="shared" ref="G8:J8" si="2">F8*(1+G37)</f>
        <v>10764.8</v>
      </c>
      <c r="H8" s="57">
        <f t="shared" si="2"/>
        <v>12487.167999999998</v>
      </c>
      <c r="I8" s="57">
        <f t="shared" si="2"/>
        <v>14485.114879999997</v>
      </c>
      <c r="J8" s="57">
        <f t="shared" si="2"/>
        <v>16802.733260799996</v>
      </c>
      <c r="L8" s="23"/>
      <c r="M8" s="8"/>
    </row>
    <row r="9" spans="1:14">
      <c r="B9" s="9" t="s">
        <v>42</v>
      </c>
      <c r="C9" s="58">
        <f t="shared" ref="C9" si="3">SUM(C6:C8)</f>
        <v>25500</v>
      </c>
      <c r="D9" s="58">
        <f t="shared" ref="D9" si="4">SUM(D6:D8)</f>
        <v>31700</v>
      </c>
      <c r="E9" s="58">
        <f t="shared" ref="E9" si="5">SUM(E6:E8)</f>
        <v>38800</v>
      </c>
      <c r="F9" s="58">
        <f>SUM(F6:F8)</f>
        <v>45994</v>
      </c>
      <c r="G9" s="58">
        <f t="shared" ref="G9:J9" si="6">SUM(G6:G8)</f>
        <v>54531.320000000007</v>
      </c>
      <c r="H9" s="58">
        <f t="shared" si="6"/>
        <v>64664.461600000002</v>
      </c>
      <c r="I9" s="58">
        <f t="shared" si="6"/>
        <v>76693.681327999991</v>
      </c>
      <c r="J9" s="58">
        <f t="shared" si="6"/>
        <v>90976.073669439997</v>
      </c>
      <c r="M9" s="8"/>
    </row>
    <row r="10" spans="1:14">
      <c r="B10" s="22" t="s">
        <v>68</v>
      </c>
      <c r="C10" s="59"/>
      <c r="D10" s="59"/>
      <c r="E10" s="59"/>
      <c r="F10" s="59"/>
      <c r="G10" s="59"/>
      <c r="H10" s="59"/>
      <c r="I10" s="59"/>
      <c r="J10" s="59"/>
      <c r="M10" s="8"/>
    </row>
    <row r="11" spans="1:14">
      <c r="B11" s="14" t="s">
        <v>94</v>
      </c>
      <c r="C11" s="56">
        <v>6000</v>
      </c>
      <c r="D11" s="56">
        <v>7500</v>
      </c>
      <c r="E11" s="56">
        <v>9200</v>
      </c>
      <c r="F11" s="57">
        <f>F41</f>
        <v>11100</v>
      </c>
      <c r="G11" s="57">
        <f t="shared" ref="G11:J11" si="7">G41</f>
        <v>13320</v>
      </c>
      <c r="H11" s="57">
        <f t="shared" si="7"/>
        <v>15984</v>
      </c>
      <c r="I11" s="57">
        <f t="shared" si="7"/>
        <v>19180.8</v>
      </c>
      <c r="J11" s="57">
        <f t="shared" si="7"/>
        <v>23016.959999999999</v>
      </c>
      <c r="M11" s="8"/>
    </row>
    <row r="12" spans="1:14">
      <c r="B12" s="14" t="s">
        <v>95</v>
      </c>
      <c r="C12" s="56">
        <v>4000</v>
      </c>
      <c r="D12" s="56">
        <v>4800</v>
      </c>
      <c r="E12" s="56">
        <v>5900</v>
      </c>
      <c r="F12" s="57">
        <f>F48</f>
        <v>6966.7199999999993</v>
      </c>
      <c r="G12" s="57">
        <f t="shared" ref="G12:J12" si="8">G48</f>
        <v>8220.7296000000006</v>
      </c>
      <c r="H12" s="57">
        <f t="shared" si="8"/>
        <v>9700.4609280000004</v>
      </c>
      <c r="I12" s="57">
        <f t="shared" si="8"/>
        <v>11446.543895039998</v>
      </c>
      <c r="J12" s="57">
        <f t="shared" si="8"/>
        <v>13506.921796147199</v>
      </c>
      <c r="M12" s="8"/>
    </row>
    <row r="13" spans="1:14" ht="14.4">
      <c r="B13" s="14" t="s">
        <v>79</v>
      </c>
      <c r="C13" s="56">
        <v>2500</v>
      </c>
      <c r="D13" s="56">
        <v>3250</v>
      </c>
      <c r="E13" s="56">
        <v>4000</v>
      </c>
      <c r="F13" s="57">
        <f>F55</f>
        <v>4640</v>
      </c>
      <c r="G13" s="57">
        <f t="shared" ref="G13:J13" si="9">G55</f>
        <v>5382.4</v>
      </c>
      <c r="H13" s="57">
        <f t="shared" si="9"/>
        <v>6243.5839999999989</v>
      </c>
      <c r="I13" s="57">
        <f t="shared" si="9"/>
        <v>7242.5574399999987</v>
      </c>
      <c r="J13" s="57">
        <f t="shared" si="9"/>
        <v>8401.366630399998</v>
      </c>
      <c r="N13" s="52"/>
    </row>
    <row r="14" spans="1:14" ht="14.4">
      <c r="B14" s="9" t="s">
        <v>14</v>
      </c>
      <c r="C14" s="58">
        <f t="shared" ref="C14" si="10">SUM(C11:C13)</f>
        <v>12500</v>
      </c>
      <c r="D14" s="58">
        <f t="shared" ref="D14" si="11">SUM(D11:D13)</f>
        <v>15550</v>
      </c>
      <c r="E14" s="58">
        <f t="shared" ref="E14" si="12">SUM(E11:E13)</f>
        <v>19100</v>
      </c>
      <c r="F14" s="58">
        <f>SUM(F11:F13)</f>
        <v>22706.720000000001</v>
      </c>
      <c r="G14" s="58">
        <f t="shared" ref="G14:J14" si="13">SUM(G11:G13)</f>
        <v>26923.1296</v>
      </c>
      <c r="H14" s="58">
        <f t="shared" si="13"/>
        <v>31928.044927999999</v>
      </c>
      <c r="I14" s="58">
        <f t="shared" si="13"/>
        <v>37869.901335039998</v>
      </c>
      <c r="J14" s="58">
        <f t="shared" si="13"/>
        <v>44925.248426547194</v>
      </c>
      <c r="N14" s="53"/>
    </row>
    <row r="15" spans="1:14" ht="14.4">
      <c r="B15" s="16"/>
      <c r="C15" s="60"/>
      <c r="D15" s="60"/>
      <c r="E15" s="60"/>
      <c r="F15" s="60"/>
      <c r="G15" s="60"/>
      <c r="H15" s="60"/>
      <c r="I15" s="60"/>
      <c r="J15" s="60"/>
      <c r="N15" s="53"/>
    </row>
    <row r="16" spans="1:14" ht="14.4">
      <c r="B16" s="16" t="s">
        <v>19</v>
      </c>
      <c r="C16" s="60">
        <f t="shared" ref="C16:E16" si="14">C9-C14</f>
        <v>13000</v>
      </c>
      <c r="D16" s="60">
        <f t="shared" si="14"/>
        <v>16150</v>
      </c>
      <c r="E16" s="60">
        <f t="shared" si="14"/>
        <v>19700</v>
      </c>
      <c r="F16" s="60">
        <f>F9-F14</f>
        <v>23287.279999999999</v>
      </c>
      <c r="G16" s="60">
        <f t="shared" ref="G16:J16" si="15">G9-G14</f>
        <v>27608.190400000007</v>
      </c>
      <c r="H16" s="60">
        <f t="shared" si="15"/>
        <v>32736.416672000003</v>
      </c>
      <c r="I16" s="60">
        <f t="shared" si="15"/>
        <v>38823.779992959993</v>
      </c>
      <c r="J16" s="60">
        <f t="shared" si="15"/>
        <v>46050.825242892803</v>
      </c>
      <c r="N16" s="53"/>
    </row>
    <row r="17" spans="2:14" ht="14.4">
      <c r="B17" s="14" t="s">
        <v>18</v>
      </c>
      <c r="C17" s="56">
        <v>4000</v>
      </c>
      <c r="D17" s="56">
        <v>5000</v>
      </c>
      <c r="E17" s="56">
        <v>6000</v>
      </c>
      <c r="F17" s="57">
        <f>F9*F60</f>
        <v>6899.0999999999995</v>
      </c>
      <c r="G17" s="57">
        <f t="shared" ref="G17:J17" si="16">G9*G60</f>
        <v>8179.6980000000003</v>
      </c>
      <c r="H17" s="57">
        <f t="shared" si="16"/>
        <v>9699.6692399999993</v>
      </c>
      <c r="I17" s="57">
        <f t="shared" si="16"/>
        <v>11504.052199199998</v>
      </c>
      <c r="J17" s="57">
        <f t="shared" si="16"/>
        <v>13646.411050416</v>
      </c>
      <c r="N17" s="53"/>
    </row>
    <row r="18" spans="2:14" ht="14.4">
      <c r="B18" s="9" t="s">
        <v>11</v>
      </c>
      <c r="C18" s="58">
        <f t="shared" ref="C18" si="17">C16-C17</f>
        <v>9000</v>
      </c>
      <c r="D18" s="58">
        <f t="shared" ref="D18" si="18">D16-D17</f>
        <v>11150</v>
      </c>
      <c r="E18" s="58">
        <f t="shared" ref="E18" si="19">E16-E17</f>
        <v>13700</v>
      </c>
      <c r="F18" s="58">
        <f>F16-F17</f>
        <v>16388.18</v>
      </c>
      <c r="G18" s="58">
        <f t="shared" ref="G18:J18" si="20">G16-G17</f>
        <v>19428.492400000006</v>
      </c>
      <c r="H18" s="58">
        <f t="shared" si="20"/>
        <v>23036.747432000004</v>
      </c>
      <c r="I18" s="58">
        <f t="shared" si="20"/>
        <v>27319.727793759994</v>
      </c>
      <c r="J18" s="58">
        <f t="shared" si="20"/>
        <v>32404.414192476805</v>
      </c>
      <c r="N18" s="53"/>
    </row>
    <row r="19" spans="2:14" ht="14.4">
      <c r="B19" s="14"/>
      <c r="C19" s="56"/>
      <c r="D19" s="56"/>
      <c r="E19" s="56"/>
      <c r="F19" s="61"/>
      <c r="G19" s="61"/>
      <c r="H19" s="61"/>
      <c r="I19" s="61"/>
      <c r="J19" s="61"/>
      <c r="N19" s="53"/>
    </row>
    <row r="20" spans="2:14" ht="14.4">
      <c r="B20" s="14" t="s">
        <v>26</v>
      </c>
      <c r="C20" s="56">
        <v>1200</v>
      </c>
      <c r="D20" s="56">
        <v>1400</v>
      </c>
      <c r="E20" s="56">
        <v>1700</v>
      </c>
      <c r="F20" s="62">
        <f>'Dep Capex'!F12</f>
        <v>2069.73</v>
      </c>
      <c r="G20" s="62">
        <f>'Dep Capex'!G12</f>
        <v>2453.9094</v>
      </c>
      <c r="H20" s="62">
        <f>'Dep Capex'!H12</f>
        <v>2909.900772</v>
      </c>
      <c r="I20" s="62">
        <f>'Dep Capex'!I12</f>
        <v>3451.2156597599997</v>
      </c>
      <c r="J20" s="62">
        <f>'Dep Capex'!J12</f>
        <v>4093.9233151247995</v>
      </c>
      <c r="N20" s="53"/>
    </row>
    <row r="21" spans="2:14" ht="14.4">
      <c r="B21" s="14" t="s">
        <v>27</v>
      </c>
      <c r="C21" s="73">
        <v>0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0</v>
      </c>
      <c r="J21" s="73">
        <v>0</v>
      </c>
      <c r="N21" s="53"/>
    </row>
    <row r="22" spans="2:14">
      <c r="B22" s="9" t="s">
        <v>2</v>
      </c>
      <c r="C22" s="58">
        <f t="shared" ref="C22" si="21">C18-C20-C21</f>
        <v>7800</v>
      </c>
      <c r="D22" s="58">
        <f t="shared" ref="D22" si="22">D18-D20-D21</f>
        <v>9750</v>
      </c>
      <c r="E22" s="58">
        <f t="shared" ref="E22:J22" si="23">E18-E20-E21</f>
        <v>12000</v>
      </c>
      <c r="F22" s="58">
        <f t="shared" si="23"/>
        <v>14318.45</v>
      </c>
      <c r="G22" s="58">
        <f t="shared" si="23"/>
        <v>16974.583000000006</v>
      </c>
      <c r="H22" s="58">
        <f t="shared" si="23"/>
        <v>20126.846660000003</v>
      </c>
      <c r="I22" s="58">
        <f t="shared" si="23"/>
        <v>23868.512133999993</v>
      </c>
      <c r="J22" s="58">
        <f t="shared" si="23"/>
        <v>28310.490877352004</v>
      </c>
    </row>
    <row r="23" spans="2:14">
      <c r="B23" s="5"/>
      <c r="C23" s="61"/>
      <c r="D23" s="61"/>
      <c r="E23" s="61"/>
      <c r="F23" s="61"/>
      <c r="G23" s="61"/>
      <c r="H23" s="61"/>
      <c r="I23" s="61"/>
      <c r="J23" s="61"/>
    </row>
    <row r="24" spans="2:14">
      <c r="B24" s="24" t="s">
        <v>10</v>
      </c>
      <c r="C24" s="56">
        <v>2200</v>
      </c>
      <c r="D24" s="56">
        <v>2050</v>
      </c>
      <c r="E24" s="56">
        <v>1800</v>
      </c>
      <c r="F24" s="62">
        <f>Debt!F15</f>
        <v>2223</v>
      </c>
      <c r="G24" s="62">
        <f>Debt!G15</f>
        <v>2133</v>
      </c>
      <c r="H24" s="62">
        <f>Debt!H15</f>
        <v>2043</v>
      </c>
      <c r="I24" s="62">
        <f>Debt!I15</f>
        <v>1953</v>
      </c>
      <c r="J24" s="62">
        <f>Debt!J15</f>
        <v>1863</v>
      </c>
    </row>
    <row r="25" spans="2:14">
      <c r="B25" s="14" t="s">
        <v>28</v>
      </c>
      <c r="C25" s="56">
        <v>100</v>
      </c>
      <c r="D25" s="56">
        <v>150</v>
      </c>
      <c r="E25" s="56">
        <v>200</v>
      </c>
      <c r="F25" s="104">
        <f>Debt!F20</f>
        <v>42</v>
      </c>
      <c r="G25" s="104">
        <f>Debt!G20</f>
        <v>36.125527849315112</v>
      </c>
      <c r="H25" s="104">
        <f>Debt!H20</f>
        <v>55.67610596723771</v>
      </c>
      <c r="I25" s="104">
        <f>Debt!I20</f>
        <v>114.94502029332924</v>
      </c>
      <c r="J25" s="104">
        <f>Debt!J20</f>
        <v>260.21185994766267</v>
      </c>
    </row>
    <row r="26" spans="2:14">
      <c r="B26" s="9" t="s">
        <v>29</v>
      </c>
      <c r="C26" s="58">
        <f t="shared" ref="C26:D26" si="24">C24-C25</f>
        <v>2100</v>
      </c>
      <c r="D26" s="58">
        <f t="shared" si="24"/>
        <v>1900</v>
      </c>
      <c r="E26" s="58">
        <f>E24-E25</f>
        <v>1600</v>
      </c>
      <c r="F26" s="58">
        <f t="shared" ref="F26:J26" si="25">F24-F25</f>
        <v>2181</v>
      </c>
      <c r="G26" s="58">
        <f t="shared" si="25"/>
        <v>2096.8744721506851</v>
      </c>
      <c r="H26" s="58">
        <f t="shared" si="25"/>
        <v>1987.3238940327624</v>
      </c>
      <c r="I26" s="58">
        <f t="shared" si="25"/>
        <v>1838.0549797066708</v>
      </c>
      <c r="J26" s="58">
        <f t="shared" si="25"/>
        <v>1602.7881400523374</v>
      </c>
    </row>
    <row r="27" spans="2:14">
      <c r="B27" s="14"/>
      <c r="C27" s="61"/>
      <c r="D27" s="61"/>
      <c r="E27" s="61"/>
      <c r="F27" s="61"/>
      <c r="G27" s="61"/>
      <c r="H27" s="61"/>
      <c r="I27" s="61"/>
      <c r="J27" s="61"/>
    </row>
    <row r="28" spans="2:14">
      <c r="B28" s="9" t="s">
        <v>20</v>
      </c>
      <c r="C28" s="63">
        <f t="shared" ref="C28:D28" si="26">C22-C26</f>
        <v>5700</v>
      </c>
      <c r="D28" s="63">
        <f t="shared" si="26"/>
        <v>7850</v>
      </c>
      <c r="E28" s="63">
        <f>E22-E26</f>
        <v>10400</v>
      </c>
      <c r="F28" s="63">
        <f t="shared" ref="F28:J28" si="27">F22-F26</f>
        <v>12137.45</v>
      </c>
      <c r="G28" s="63">
        <f t="shared" si="27"/>
        <v>14877.708527849321</v>
      </c>
      <c r="H28" s="63">
        <f t="shared" si="27"/>
        <v>18139.522765967242</v>
      </c>
      <c r="I28" s="63">
        <f t="shared" si="27"/>
        <v>22030.457154293323</v>
      </c>
      <c r="J28" s="63">
        <f t="shared" si="27"/>
        <v>26707.702737299667</v>
      </c>
    </row>
    <row r="29" spans="2:14">
      <c r="B29" s="14" t="s">
        <v>72</v>
      </c>
      <c r="C29" s="56">
        <v>1325</v>
      </c>
      <c r="D29" s="56">
        <v>1837.5</v>
      </c>
      <c r="E29" s="56">
        <v>2450</v>
      </c>
      <c r="F29" s="57">
        <f>F28*F62</f>
        <v>2840.1633000000002</v>
      </c>
      <c r="G29" s="57">
        <f t="shared" ref="G29:J29" si="28">G28*G62</f>
        <v>3481.3837955167414</v>
      </c>
      <c r="H29" s="57">
        <f t="shared" si="28"/>
        <v>4244.6483272363348</v>
      </c>
      <c r="I29" s="57">
        <f t="shared" si="28"/>
        <v>5155.1269741046381</v>
      </c>
      <c r="J29" s="57">
        <f t="shared" si="28"/>
        <v>6249.6024405281223</v>
      </c>
    </row>
    <row r="30" spans="2:14" ht="14.4" thickBot="1">
      <c r="B30" s="46" t="s">
        <v>6</v>
      </c>
      <c r="C30" s="64">
        <f>C28-C29</f>
        <v>4375</v>
      </c>
      <c r="D30" s="64">
        <f>D28-D29</f>
        <v>6012.5</v>
      </c>
      <c r="E30" s="64">
        <f>E28-E29</f>
        <v>7950</v>
      </c>
      <c r="F30" s="64">
        <f t="shared" ref="F30:J30" si="29">F28-F29</f>
        <v>9297.2867000000006</v>
      </c>
      <c r="G30" s="64">
        <f t="shared" si="29"/>
        <v>11396.32473233258</v>
      </c>
      <c r="H30" s="64">
        <f t="shared" si="29"/>
        <v>13894.874438730907</v>
      </c>
      <c r="I30" s="64">
        <f t="shared" si="29"/>
        <v>16875.330180188685</v>
      </c>
      <c r="J30" s="64">
        <f t="shared" si="29"/>
        <v>20458.100296771547</v>
      </c>
    </row>
    <row r="31" spans="2:14" ht="14.4" thickTop="1">
      <c r="B31" s="16"/>
      <c r="C31" s="65"/>
      <c r="D31" s="65"/>
      <c r="E31" s="65"/>
      <c r="F31" s="65"/>
      <c r="G31" s="65"/>
      <c r="H31" s="65"/>
      <c r="I31" s="65"/>
      <c r="J31" s="65"/>
    </row>
    <row r="32" spans="2:14">
      <c r="B32" s="16"/>
      <c r="C32" s="65"/>
      <c r="D32" s="65"/>
      <c r="E32" s="65"/>
      <c r="F32" s="65"/>
      <c r="G32" s="65"/>
      <c r="H32" s="65"/>
      <c r="I32" s="65"/>
      <c r="J32" s="65"/>
    </row>
    <row r="33" spans="2:10">
      <c r="B33" s="47" t="s">
        <v>76</v>
      </c>
      <c r="C33" s="65"/>
      <c r="D33" s="65"/>
      <c r="E33" s="65"/>
      <c r="F33" s="65"/>
      <c r="G33" s="65"/>
      <c r="H33" s="65"/>
      <c r="I33" s="65"/>
      <c r="J33" s="65"/>
    </row>
    <row r="34" spans="2:10">
      <c r="B34" s="22" t="s">
        <v>7</v>
      </c>
      <c r="C34" s="61"/>
      <c r="D34" s="61"/>
      <c r="E34" s="61"/>
      <c r="F34" s="61"/>
      <c r="G34" s="61"/>
      <c r="H34" s="61"/>
      <c r="I34" s="61"/>
      <c r="J34" s="61"/>
    </row>
    <row r="35" spans="2:10">
      <c r="B35" s="14" t="s">
        <v>94</v>
      </c>
      <c r="C35" s="66"/>
      <c r="D35" s="67">
        <f>D6/C6-1</f>
        <v>0.25</v>
      </c>
      <c r="E35" s="67">
        <f t="shared" ref="E35:E37" si="30">E6/D6-1</f>
        <v>0.23333333333333339</v>
      </c>
      <c r="F35" s="66">
        <v>0.2</v>
      </c>
      <c r="G35" s="66">
        <v>0.2</v>
      </c>
      <c r="H35" s="66">
        <v>0.2</v>
      </c>
      <c r="I35" s="66">
        <v>0.2</v>
      </c>
      <c r="J35" s="66">
        <v>0.2</v>
      </c>
    </row>
    <row r="36" spans="2:10">
      <c r="B36" s="14" t="s">
        <v>95</v>
      </c>
      <c r="C36" s="66"/>
      <c r="D36" s="67">
        <f>D7/C7-1</f>
        <v>0.19999999999999996</v>
      </c>
      <c r="E36" s="67">
        <f t="shared" si="30"/>
        <v>0.20588235294117641</v>
      </c>
      <c r="F36" s="66">
        <v>0.18</v>
      </c>
      <c r="G36" s="66">
        <v>0.18</v>
      </c>
      <c r="H36" s="66">
        <v>0.18</v>
      </c>
      <c r="I36" s="66">
        <v>0.18</v>
      </c>
      <c r="J36" s="66">
        <v>0.18</v>
      </c>
    </row>
    <row r="37" spans="2:10">
      <c r="B37" s="14" t="s">
        <v>79</v>
      </c>
      <c r="C37" s="66"/>
      <c r="D37" s="67">
        <f>D8/C8-1</f>
        <v>0.30000000000000004</v>
      </c>
      <c r="E37" s="67">
        <f t="shared" si="30"/>
        <v>0.23076923076923084</v>
      </c>
      <c r="F37" s="66">
        <v>0.16</v>
      </c>
      <c r="G37" s="66">
        <v>0.16</v>
      </c>
      <c r="H37" s="66">
        <v>0.16</v>
      </c>
      <c r="I37" s="66">
        <v>0.16</v>
      </c>
      <c r="J37" s="66">
        <v>0.16</v>
      </c>
    </row>
    <row r="38" spans="2:10">
      <c r="B38" s="16"/>
      <c r="C38" s="61"/>
      <c r="D38" s="61"/>
      <c r="E38" s="61"/>
      <c r="F38" s="61"/>
      <c r="G38" s="61"/>
      <c r="H38" s="61"/>
      <c r="I38" s="61"/>
      <c r="J38" s="61"/>
    </row>
    <row r="39" spans="2:10" s="1" customFormat="1">
      <c r="B39" s="22" t="s">
        <v>94</v>
      </c>
      <c r="C39" s="30"/>
      <c r="D39" s="30"/>
      <c r="E39" s="30"/>
      <c r="F39" s="30"/>
      <c r="G39" s="30"/>
      <c r="H39" s="30"/>
      <c r="I39" s="30"/>
      <c r="J39" s="30"/>
    </row>
    <row r="40" spans="2:10" s="1" customFormat="1">
      <c r="B40" s="25" t="s">
        <v>97</v>
      </c>
      <c r="C40" s="57">
        <f>C6</f>
        <v>12000</v>
      </c>
      <c r="D40" s="57">
        <f t="shared" ref="D40:E40" si="31">D6</f>
        <v>15000</v>
      </c>
      <c r="E40" s="57">
        <f t="shared" si="31"/>
        <v>18500</v>
      </c>
      <c r="F40" s="57">
        <f>F6</f>
        <v>22200</v>
      </c>
      <c r="G40" s="57">
        <f t="shared" ref="G40:J40" si="32">G6</f>
        <v>26640</v>
      </c>
      <c r="H40" s="57">
        <f t="shared" si="32"/>
        <v>31968</v>
      </c>
      <c r="I40" s="57">
        <f t="shared" si="32"/>
        <v>38361.599999999999</v>
      </c>
      <c r="J40" s="57">
        <f t="shared" si="32"/>
        <v>46033.919999999998</v>
      </c>
    </row>
    <row r="41" spans="2:10" s="1" customFormat="1">
      <c r="B41" s="26" t="s">
        <v>96</v>
      </c>
      <c r="C41" s="57">
        <f>C11</f>
        <v>6000</v>
      </c>
      <c r="D41" s="57">
        <f t="shared" ref="D41:E41" si="33">D11</f>
        <v>7500</v>
      </c>
      <c r="E41" s="57">
        <f t="shared" si="33"/>
        <v>9200</v>
      </c>
      <c r="F41" s="57">
        <f>F40*F42</f>
        <v>11100</v>
      </c>
      <c r="G41" s="57">
        <f t="shared" ref="G41:J41" si="34">G40*G42</f>
        <v>13320</v>
      </c>
      <c r="H41" s="57">
        <f t="shared" si="34"/>
        <v>15984</v>
      </c>
      <c r="I41" s="57">
        <f t="shared" si="34"/>
        <v>19180.8</v>
      </c>
      <c r="J41" s="57">
        <f t="shared" si="34"/>
        <v>23016.959999999999</v>
      </c>
    </row>
    <row r="42" spans="2:10" s="1" customFormat="1">
      <c r="B42" s="25" t="s">
        <v>69</v>
      </c>
      <c r="C42" s="67">
        <f>C41/C40</f>
        <v>0.5</v>
      </c>
      <c r="D42" s="67">
        <f t="shared" ref="D42:E42" si="35">D41/D40</f>
        <v>0.5</v>
      </c>
      <c r="E42" s="67">
        <f t="shared" si="35"/>
        <v>0.49729729729729732</v>
      </c>
      <c r="F42" s="66">
        <v>0.5</v>
      </c>
      <c r="G42" s="66">
        <v>0.5</v>
      </c>
      <c r="H42" s="66">
        <v>0.5</v>
      </c>
      <c r="I42" s="66">
        <v>0.5</v>
      </c>
      <c r="J42" s="66">
        <v>0.5</v>
      </c>
    </row>
    <row r="43" spans="2:10" s="1" customFormat="1">
      <c r="B43" s="27" t="s">
        <v>15</v>
      </c>
      <c r="C43" s="68">
        <f>C40-C41</f>
        <v>6000</v>
      </c>
      <c r="D43" s="68">
        <f t="shared" ref="D43:E43" si="36">D40-D41</f>
        <v>7500</v>
      </c>
      <c r="E43" s="68">
        <f t="shared" si="36"/>
        <v>9300</v>
      </c>
      <c r="F43" s="68">
        <f t="shared" ref="F43:J43" si="37">F40-F41</f>
        <v>11100</v>
      </c>
      <c r="G43" s="68">
        <f t="shared" si="37"/>
        <v>13320</v>
      </c>
      <c r="H43" s="68">
        <f t="shared" si="37"/>
        <v>15984</v>
      </c>
      <c r="I43" s="68">
        <f t="shared" si="37"/>
        <v>19180.8</v>
      </c>
      <c r="J43" s="68">
        <f t="shared" si="37"/>
        <v>23016.959999999999</v>
      </c>
    </row>
    <row r="44" spans="2:10" s="1" customFormat="1">
      <c r="B44" s="17" t="s">
        <v>12</v>
      </c>
      <c r="C44" s="69">
        <f>C43/C40</f>
        <v>0.5</v>
      </c>
      <c r="D44" s="69">
        <f t="shared" ref="D44:E44" si="38">D43/D40</f>
        <v>0.5</v>
      </c>
      <c r="E44" s="69">
        <f t="shared" si="38"/>
        <v>0.50270270270270268</v>
      </c>
      <c r="F44" s="69">
        <f t="shared" ref="F44" si="39">F43/F40</f>
        <v>0.5</v>
      </c>
      <c r="G44" s="69">
        <f t="shared" ref="G44" si="40">G43/G40</f>
        <v>0.5</v>
      </c>
      <c r="H44" s="69">
        <f t="shared" ref="H44" si="41">H43/H40</f>
        <v>0.5</v>
      </c>
      <c r="I44" s="69">
        <f t="shared" ref="I44" si="42">I43/I40</f>
        <v>0.5</v>
      </c>
      <c r="J44" s="69">
        <f t="shared" ref="J44" si="43">J43/J40</f>
        <v>0.5</v>
      </c>
    </row>
    <row r="45" spans="2:10" s="1" customFormat="1">
      <c r="C45" s="30"/>
      <c r="D45" s="30"/>
      <c r="E45" s="30"/>
      <c r="F45" s="30"/>
      <c r="G45" s="30"/>
      <c r="H45" s="30"/>
      <c r="I45" s="30"/>
      <c r="J45" s="30"/>
    </row>
    <row r="46" spans="2:10">
      <c r="B46" s="22" t="s">
        <v>80</v>
      </c>
      <c r="C46" s="30"/>
      <c r="D46" s="30"/>
      <c r="E46" s="30"/>
      <c r="F46" s="30"/>
      <c r="G46" s="30"/>
      <c r="H46" s="30"/>
      <c r="I46" s="30"/>
      <c r="J46" s="30"/>
    </row>
    <row r="47" spans="2:10">
      <c r="B47" s="25" t="s">
        <v>81</v>
      </c>
      <c r="C47" s="57">
        <f>C7</f>
        <v>8500</v>
      </c>
      <c r="D47" s="57">
        <f t="shared" ref="D47:J47" si="44">D7</f>
        <v>10200</v>
      </c>
      <c r="E47" s="57">
        <f t="shared" si="44"/>
        <v>12300</v>
      </c>
      <c r="F47" s="57">
        <f t="shared" si="44"/>
        <v>14514</v>
      </c>
      <c r="G47" s="57">
        <f t="shared" si="44"/>
        <v>17126.52</v>
      </c>
      <c r="H47" s="57">
        <f t="shared" si="44"/>
        <v>20209.293600000001</v>
      </c>
      <c r="I47" s="57">
        <f t="shared" si="44"/>
        <v>23846.966447999999</v>
      </c>
      <c r="J47" s="57">
        <f t="shared" si="44"/>
        <v>28139.420408639999</v>
      </c>
    </row>
    <row r="48" spans="2:10">
      <c r="B48" s="26" t="s">
        <v>82</v>
      </c>
      <c r="C48" s="57">
        <f>C12</f>
        <v>4000</v>
      </c>
      <c r="D48" s="57">
        <f t="shared" ref="D48:E48" si="45">D12</f>
        <v>4800</v>
      </c>
      <c r="E48" s="57">
        <f t="shared" si="45"/>
        <v>5900</v>
      </c>
      <c r="F48" s="57">
        <f>F47*F49</f>
        <v>6966.7199999999993</v>
      </c>
      <c r="G48" s="57">
        <f t="shared" ref="G48:J48" si="46">G47*G49</f>
        <v>8220.7296000000006</v>
      </c>
      <c r="H48" s="57">
        <f t="shared" si="46"/>
        <v>9700.4609280000004</v>
      </c>
      <c r="I48" s="57">
        <f t="shared" si="46"/>
        <v>11446.543895039998</v>
      </c>
      <c r="J48" s="57">
        <f t="shared" si="46"/>
        <v>13506.921796147199</v>
      </c>
    </row>
    <row r="49" spans="2:10">
      <c r="B49" s="25" t="s">
        <v>69</v>
      </c>
      <c r="C49" s="67">
        <f>C48/C47</f>
        <v>0.47058823529411764</v>
      </c>
      <c r="D49" s="67">
        <f t="shared" ref="D49:E49" si="47">D48/D47</f>
        <v>0.47058823529411764</v>
      </c>
      <c r="E49" s="67">
        <f t="shared" si="47"/>
        <v>0.47967479674796748</v>
      </c>
      <c r="F49" s="66">
        <v>0.48</v>
      </c>
      <c r="G49" s="66">
        <v>0.48</v>
      </c>
      <c r="H49" s="66">
        <v>0.48</v>
      </c>
      <c r="I49" s="66">
        <v>0.48</v>
      </c>
      <c r="J49" s="66">
        <v>0.48</v>
      </c>
    </row>
    <row r="50" spans="2:10">
      <c r="B50" s="27" t="s">
        <v>15</v>
      </c>
      <c r="C50" s="68">
        <f>C47-C48</f>
        <v>4500</v>
      </c>
      <c r="D50" s="68">
        <f t="shared" ref="D50:J50" si="48">D47-D48</f>
        <v>5400</v>
      </c>
      <c r="E50" s="68">
        <f t="shared" si="48"/>
        <v>6400</v>
      </c>
      <c r="F50" s="68">
        <f t="shared" si="48"/>
        <v>7547.2800000000007</v>
      </c>
      <c r="G50" s="68">
        <f t="shared" si="48"/>
        <v>8905.7903999999999</v>
      </c>
      <c r="H50" s="68">
        <f t="shared" si="48"/>
        <v>10508.832672</v>
      </c>
      <c r="I50" s="68">
        <f t="shared" si="48"/>
        <v>12400.422552960001</v>
      </c>
      <c r="J50" s="68">
        <f t="shared" si="48"/>
        <v>14632.4986124928</v>
      </c>
    </row>
    <row r="51" spans="2:10">
      <c r="B51" s="17" t="s">
        <v>12</v>
      </c>
      <c r="C51" s="69">
        <f>C50/C47</f>
        <v>0.52941176470588236</v>
      </c>
      <c r="D51" s="69">
        <f t="shared" ref="D51:J51" si="49">D50/D47</f>
        <v>0.52941176470588236</v>
      </c>
      <c r="E51" s="69">
        <f t="shared" si="49"/>
        <v>0.52032520325203258</v>
      </c>
      <c r="F51" s="69">
        <f t="shared" si="49"/>
        <v>0.52</v>
      </c>
      <c r="G51" s="69">
        <f t="shared" si="49"/>
        <v>0.52</v>
      </c>
      <c r="H51" s="69">
        <f t="shared" si="49"/>
        <v>0.52</v>
      </c>
      <c r="I51" s="69">
        <f t="shared" si="49"/>
        <v>0.52</v>
      </c>
      <c r="J51" s="69">
        <f t="shared" si="49"/>
        <v>0.52</v>
      </c>
    </row>
    <row r="52" spans="2:10">
      <c r="C52" s="70"/>
      <c r="D52" s="70"/>
      <c r="E52" s="70"/>
      <c r="F52" s="70"/>
      <c r="G52" s="70"/>
      <c r="H52" s="70"/>
      <c r="I52" s="70"/>
      <c r="J52" s="70"/>
    </row>
    <row r="53" spans="2:10">
      <c r="B53" s="22" t="s">
        <v>79</v>
      </c>
      <c r="C53" s="30"/>
      <c r="D53" s="30"/>
      <c r="E53" s="30"/>
      <c r="F53" s="30"/>
      <c r="G53" s="30"/>
      <c r="H53" s="30"/>
      <c r="I53" s="30"/>
      <c r="J53" s="30"/>
    </row>
    <row r="54" spans="2:10">
      <c r="B54" s="26" t="s">
        <v>83</v>
      </c>
      <c r="C54" s="57">
        <f>C8</f>
        <v>5000</v>
      </c>
      <c r="D54" s="57">
        <f t="shared" ref="D54:J54" si="50">D8</f>
        <v>6500</v>
      </c>
      <c r="E54" s="57">
        <f t="shared" si="50"/>
        <v>8000</v>
      </c>
      <c r="F54" s="57">
        <f t="shared" si="50"/>
        <v>9280</v>
      </c>
      <c r="G54" s="57">
        <f t="shared" si="50"/>
        <v>10764.8</v>
      </c>
      <c r="H54" s="57">
        <f t="shared" si="50"/>
        <v>12487.167999999998</v>
      </c>
      <c r="I54" s="57">
        <f t="shared" si="50"/>
        <v>14485.114879999997</v>
      </c>
      <c r="J54" s="57">
        <f t="shared" si="50"/>
        <v>16802.733260799996</v>
      </c>
    </row>
    <row r="55" spans="2:10">
      <c r="B55" s="26" t="s">
        <v>84</v>
      </c>
      <c r="C55" s="57">
        <f>C13</f>
        <v>2500</v>
      </c>
      <c r="D55" s="57">
        <f t="shared" ref="D55:E55" si="51">D13</f>
        <v>3250</v>
      </c>
      <c r="E55" s="57">
        <f t="shared" si="51"/>
        <v>4000</v>
      </c>
      <c r="F55" s="57">
        <f>F54*F56</f>
        <v>4640</v>
      </c>
      <c r="G55" s="57">
        <f t="shared" ref="G55:J55" si="52">G54*G56</f>
        <v>5382.4</v>
      </c>
      <c r="H55" s="57">
        <f t="shared" si="52"/>
        <v>6243.5839999999989</v>
      </c>
      <c r="I55" s="57">
        <f t="shared" si="52"/>
        <v>7242.5574399999987</v>
      </c>
      <c r="J55" s="57">
        <f t="shared" si="52"/>
        <v>8401.366630399998</v>
      </c>
    </row>
    <row r="56" spans="2:10">
      <c r="B56" s="25" t="s">
        <v>69</v>
      </c>
      <c r="C56" s="67">
        <f>C55/C54</f>
        <v>0.5</v>
      </c>
      <c r="D56" s="67">
        <f t="shared" ref="D56:E56" si="53">D55/D54</f>
        <v>0.5</v>
      </c>
      <c r="E56" s="67">
        <f t="shared" si="53"/>
        <v>0.5</v>
      </c>
      <c r="F56" s="66">
        <v>0.5</v>
      </c>
      <c r="G56" s="66">
        <v>0.5</v>
      </c>
      <c r="H56" s="66">
        <v>0.5</v>
      </c>
      <c r="I56" s="66">
        <v>0.5</v>
      </c>
      <c r="J56" s="66">
        <v>0.5</v>
      </c>
    </row>
    <row r="57" spans="2:10">
      <c r="B57" s="28" t="s">
        <v>15</v>
      </c>
      <c r="C57" s="71">
        <f>C54-C55</f>
        <v>2500</v>
      </c>
      <c r="D57" s="71">
        <f t="shared" ref="D57:J57" si="54">D54-D55</f>
        <v>3250</v>
      </c>
      <c r="E57" s="71">
        <f t="shared" si="54"/>
        <v>4000</v>
      </c>
      <c r="F57" s="71">
        <f t="shared" si="54"/>
        <v>4640</v>
      </c>
      <c r="G57" s="71">
        <f t="shared" si="54"/>
        <v>5382.4</v>
      </c>
      <c r="H57" s="71">
        <f t="shared" si="54"/>
        <v>6243.5839999999989</v>
      </c>
      <c r="I57" s="71">
        <f t="shared" si="54"/>
        <v>7242.5574399999987</v>
      </c>
      <c r="J57" s="71">
        <f t="shared" si="54"/>
        <v>8401.366630399998</v>
      </c>
    </row>
    <row r="58" spans="2:10">
      <c r="B58" s="17" t="s">
        <v>12</v>
      </c>
      <c r="C58" s="69">
        <f>C57/C54</f>
        <v>0.5</v>
      </c>
      <c r="D58" s="69">
        <f t="shared" ref="D58:J58" si="55">D57/D54</f>
        <v>0.5</v>
      </c>
      <c r="E58" s="69">
        <f t="shared" si="55"/>
        <v>0.5</v>
      </c>
      <c r="F58" s="69">
        <f t="shared" si="55"/>
        <v>0.5</v>
      </c>
      <c r="G58" s="69">
        <f t="shared" si="55"/>
        <v>0.5</v>
      </c>
      <c r="H58" s="69">
        <f t="shared" si="55"/>
        <v>0.5</v>
      </c>
      <c r="I58" s="69">
        <f t="shared" si="55"/>
        <v>0.5</v>
      </c>
      <c r="J58" s="69">
        <f t="shared" si="55"/>
        <v>0.5</v>
      </c>
    </row>
    <row r="59" spans="2:10">
      <c r="B59" s="16"/>
      <c r="C59" s="61"/>
      <c r="D59" s="61"/>
      <c r="E59" s="61"/>
      <c r="F59" s="61"/>
      <c r="G59" s="61"/>
      <c r="H59" s="61"/>
      <c r="I59" s="61"/>
      <c r="J59" s="61"/>
    </row>
    <row r="60" spans="2:10">
      <c r="B60" s="14" t="s">
        <v>18</v>
      </c>
      <c r="C60" s="67">
        <f>C17/C9</f>
        <v>0.15686274509803921</v>
      </c>
      <c r="D60" s="67">
        <f t="shared" ref="D60:E60" si="56">D17/D9</f>
        <v>0.15772870662460567</v>
      </c>
      <c r="E60" s="67">
        <f t="shared" si="56"/>
        <v>0.15463917525773196</v>
      </c>
      <c r="F60" s="66">
        <v>0.15</v>
      </c>
      <c r="G60" s="66">
        <v>0.15</v>
      </c>
      <c r="H60" s="66">
        <v>0.15</v>
      </c>
      <c r="I60" s="66">
        <v>0.15</v>
      </c>
      <c r="J60" s="66">
        <v>0.15</v>
      </c>
    </row>
    <row r="61" spans="2:10">
      <c r="C61" s="61"/>
      <c r="D61" s="61"/>
      <c r="E61" s="61"/>
      <c r="F61" s="61"/>
      <c r="G61" s="61"/>
      <c r="H61" s="61"/>
      <c r="I61" s="61"/>
      <c r="J61" s="61"/>
    </row>
    <row r="62" spans="2:10">
      <c r="B62" s="14" t="s">
        <v>33</v>
      </c>
      <c r="C62" s="67">
        <f>C29/C28</f>
        <v>0.23245614035087719</v>
      </c>
      <c r="D62" s="67">
        <f t="shared" ref="D62:E62" si="57">D29/D28</f>
        <v>0.23407643312101911</v>
      </c>
      <c r="E62" s="67">
        <f t="shared" si="57"/>
        <v>0.23557692307692307</v>
      </c>
      <c r="F62" s="66">
        <v>0.23400000000000001</v>
      </c>
      <c r="G62" s="66">
        <v>0.23400000000000001</v>
      </c>
      <c r="H62" s="66">
        <v>0.23400000000000001</v>
      </c>
      <c r="I62" s="66">
        <v>0.23400000000000001</v>
      </c>
      <c r="J62" s="66">
        <v>0.23400000000000001</v>
      </c>
    </row>
    <row r="63" spans="2:10">
      <c r="B63" s="16"/>
      <c r="C63" s="61"/>
      <c r="D63" s="61"/>
      <c r="E63" s="61"/>
      <c r="F63" s="61"/>
      <c r="G63" s="61"/>
      <c r="H63" s="61"/>
      <c r="I63" s="61"/>
      <c r="J63" s="61"/>
    </row>
    <row r="64" spans="2:10">
      <c r="C64" s="72"/>
      <c r="D64" s="72"/>
      <c r="E64" s="72"/>
      <c r="F64" s="72"/>
      <c r="G64" s="72"/>
      <c r="H64" s="72"/>
      <c r="I64" s="72"/>
      <c r="J64" s="72"/>
    </row>
    <row r="65" spans="2:10">
      <c r="B65" s="15" t="s">
        <v>19</v>
      </c>
      <c r="C65" s="98">
        <f>C16/C9</f>
        <v>0.50980392156862742</v>
      </c>
      <c r="D65" s="98">
        <f>D16/D9</f>
        <v>0.50946372239747639</v>
      </c>
      <c r="E65" s="98">
        <f t="shared" ref="E65:J65" si="58">E16/E9</f>
        <v>0.50773195876288657</v>
      </c>
      <c r="F65" s="98">
        <f t="shared" si="58"/>
        <v>0.50631125799017263</v>
      </c>
      <c r="G65" s="98">
        <f t="shared" si="58"/>
        <v>0.50628135170760591</v>
      </c>
      <c r="H65" s="98">
        <f t="shared" si="58"/>
        <v>0.50625051012564226</v>
      </c>
      <c r="I65" s="98">
        <f t="shared" si="58"/>
        <v>0.50621875649599146</v>
      </c>
      <c r="J65" s="98">
        <f t="shared" si="58"/>
        <v>0.50618611449662787</v>
      </c>
    </row>
    <row r="66" spans="2:10">
      <c r="B66" s="15" t="s">
        <v>103</v>
      </c>
      <c r="C66" s="98">
        <f>C18/C9</f>
        <v>0.35294117647058826</v>
      </c>
      <c r="D66" s="98">
        <f t="shared" ref="D66:E66" si="59">D18/D9</f>
        <v>0.35173501577287064</v>
      </c>
      <c r="E66" s="98">
        <f t="shared" si="59"/>
        <v>0.35309278350515466</v>
      </c>
      <c r="F66" s="98">
        <f t="shared" ref="F66:J66" si="60">F18/F9</f>
        <v>0.35631125799017266</v>
      </c>
      <c r="G66" s="98">
        <f t="shared" si="60"/>
        <v>0.35628135170760589</v>
      </c>
      <c r="H66" s="98">
        <f t="shared" si="60"/>
        <v>0.35625051012564224</v>
      </c>
      <c r="I66" s="98">
        <f t="shared" si="60"/>
        <v>0.35621875649599144</v>
      </c>
      <c r="J66" s="98">
        <f t="shared" si="60"/>
        <v>0.35618611449662785</v>
      </c>
    </row>
    <row r="67" spans="2:10">
      <c r="B67" s="15" t="s">
        <v>104</v>
      </c>
      <c r="C67" s="98">
        <f>C22/C9</f>
        <v>0.30588235294117649</v>
      </c>
      <c r="D67" s="98">
        <f t="shared" ref="D67:E67" si="61">D22/D9</f>
        <v>0.30757097791798105</v>
      </c>
      <c r="E67" s="98">
        <f t="shared" si="61"/>
        <v>0.30927835051546393</v>
      </c>
      <c r="F67" s="98">
        <f t="shared" ref="F67:J67" si="62">F22/F9</f>
        <v>0.31131125799017267</v>
      </c>
      <c r="G67" s="98">
        <f t="shared" si="62"/>
        <v>0.3112813517076059</v>
      </c>
      <c r="H67" s="98">
        <f t="shared" si="62"/>
        <v>0.3112505101256422</v>
      </c>
      <c r="I67" s="98">
        <f t="shared" si="62"/>
        <v>0.3112187564959914</v>
      </c>
      <c r="J67" s="98">
        <f t="shared" si="62"/>
        <v>0.31118611449662786</v>
      </c>
    </row>
    <row r="68" spans="2:10">
      <c r="B68" s="15" t="s">
        <v>105</v>
      </c>
      <c r="C68" s="98">
        <f>C28/C9</f>
        <v>0.22352941176470589</v>
      </c>
      <c r="D68" s="98">
        <f t="shared" ref="D68:E68" si="63">D28/D9</f>
        <v>0.2476340694006309</v>
      </c>
      <c r="E68" s="98">
        <f t="shared" si="63"/>
        <v>0.26804123711340205</v>
      </c>
      <c r="F68" s="98">
        <f t="shared" ref="F68:J68" si="64">F28/F9</f>
        <v>0.26389202939513851</v>
      </c>
      <c r="G68" s="98">
        <f t="shared" si="64"/>
        <v>0.2728286886847654</v>
      </c>
      <c r="H68" s="98">
        <f t="shared" si="64"/>
        <v>0.28051764937245283</v>
      </c>
      <c r="I68" s="98">
        <f t="shared" si="64"/>
        <v>0.28725257117433811</v>
      </c>
      <c r="J68" s="98">
        <f t="shared" si="64"/>
        <v>0.29356842585163268</v>
      </c>
    </row>
    <row r="69" spans="2:10">
      <c r="B69" s="15" t="s">
        <v>106</v>
      </c>
      <c r="C69" s="98">
        <f>C30/C9</f>
        <v>0.17156862745098039</v>
      </c>
      <c r="D69" s="98">
        <f t="shared" ref="D69:E69" si="65">D30/D9</f>
        <v>0.18966876971608831</v>
      </c>
      <c r="E69" s="98">
        <f t="shared" si="65"/>
        <v>0.20489690721649484</v>
      </c>
      <c r="F69" s="98">
        <f t="shared" ref="F69:J69" si="66">F30/F9</f>
        <v>0.20214129451667609</v>
      </c>
      <c r="G69" s="98">
        <f t="shared" si="66"/>
        <v>0.20898677553253026</v>
      </c>
      <c r="H69" s="98">
        <f t="shared" si="66"/>
        <v>0.21487651941929889</v>
      </c>
      <c r="I69" s="98">
        <f t="shared" si="66"/>
        <v>0.22003546951954298</v>
      </c>
      <c r="J69" s="98">
        <f t="shared" si="66"/>
        <v>0.22487341420235066</v>
      </c>
    </row>
    <row r="70" spans="2:10">
      <c r="C70" s="72"/>
      <c r="D70" s="72"/>
      <c r="E70" s="72"/>
      <c r="F70" s="72"/>
      <c r="G70" s="72"/>
      <c r="H70" s="72"/>
      <c r="I70" s="72"/>
      <c r="J70" s="72"/>
    </row>
    <row r="71" spans="2:10">
      <c r="C71" s="72"/>
      <c r="D71" s="72"/>
      <c r="E71" s="72"/>
      <c r="F71" s="72"/>
      <c r="G71" s="72"/>
      <c r="H71" s="72"/>
      <c r="I71" s="72"/>
      <c r="J71" s="72"/>
    </row>
    <row r="72" spans="2:10">
      <c r="C72" s="72"/>
      <c r="D72" s="72"/>
      <c r="E72" s="72"/>
      <c r="F72" s="72"/>
      <c r="G72" s="72"/>
      <c r="H72" s="72"/>
      <c r="I72" s="72"/>
      <c r="J72" s="72"/>
    </row>
    <row r="73" spans="2:10">
      <c r="C73" s="72"/>
      <c r="D73" s="72"/>
      <c r="E73" s="72"/>
      <c r="F73" s="72"/>
      <c r="G73" s="72"/>
      <c r="H73" s="72"/>
      <c r="I73" s="72"/>
      <c r="J73" s="72"/>
    </row>
    <row r="74" spans="2:10">
      <c r="C74" s="72"/>
      <c r="D74" s="72"/>
      <c r="E74" s="72"/>
      <c r="F74" s="72"/>
      <c r="G74" s="72"/>
      <c r="H74" s="72"/>
      <c r="I74" s="72"/>
      <c r="J74" s="72"/>
    </row>
    <row r="75" spans="2:10">
      <c r="C75" s="72"/>
      <c r="D75" s="72"/>
      <c r="E75" s="72"/>
      <c r="F75" s="72"/>
      <c r="G75" s="72"/>
      <c r="H75" s="72"/>
      <c r="I75" s="72"/>
      <c r="J75" s="72"/>
    </row>
    <row r="76" spans="2:10">
      <c r="C76" s="72"/>
      <c r="D76" s="72"/>
      <c r="E76" s="72"/>
      <c r="F76" s="72"/>
      <c r="G76" s="72"/>
      <c r="H76" s="72"/>
      <c r="I76" s="72"/>
      <c r="J76" s="72"/>
    </row>
    <row r="77" spans="2:10">
      <c r="C77" s="72"/>
      <c r="D77" s="72"/>
      <c r="E77" s="72"/>
      <c r="F77" s="72"/>
      <c r="G77" s="72"/>
      <c r="H77" s="72"/>
      <c r="I77" s="72"/>
      <c r="J77" s="72"/>
    </row>
    <row r="78" spans="2:10">
      <c r="C78" s="72"/>
      <c r="D78" s="72"/>
      <c r="E78" s="72"/>
      <c r="F78" s="72"/>
      <c r="G78" s="72"/>
      <c r="H78" s="72"/>
      <c r="I78" s="72"/>
      <c r="J78" s="72"/>
    </row>
    <row r="79" spans="2:10">
      <c r="C79" s="72"/>
      <c r="D79" s="72"/>
      <c r="E79" s="72"/>
      <c r="F79" s="72"/>
      <c r="G79" s="72"/>
      <c r="H79" s="72"/>
      <c r="I79" s="72"/>
      <c r="J79" s="72"/>
    </row>
    <row r="80" spans="2:10">
      <c r="C80" s="72"/>
      <c r="D80" s="72"/>
      <c r="E80" s="72"/>
      <c r="F80" s="72"/>
      <c r="G80" s="72"/>
      <c r="H80" s="72"/>
      <c r="I80" s="72"/>
      <c r="J80" s="72"/>
    </row>
    <row r="81" spans="3:10">
      <c r="C81" s="72"/>
      <c r="D81" s="72"/>
      <c r="E81" s="72"/>
      <c r="F81" s="72"/>
      <c r="G81" s="72"/>
      <c r="H81" s="72"/>
      <c r="I81" s="72"/>
      <c r="J81" s="72"/>
    </row>
    <row r="82" spans="3:10">
      <c r="C82" s="72"/>
      <c r="D82" s="72"/>
      <c r="E82" s="72"/>
      <c r="F82" s="72"/>
      <c r="G82" s="72"/>
      <c r="H82" s="72"/>
      <c r="I82" s="72"/>
      <c r="J82" s="72"/>
    </row>
    <row r="83" spans="3:10">
      <c r="C83" s="72"/>
      <c r="D83" s="72"/>
      <c r="E83" s="72"/>
      <c r="F83" s="72"/>
      <c r="G83" s="72"/>
      <c r="H83" s="72"/>
      <c r="I83" s="72"/>
      <c r="J83" s="72"/>
    </row>
    <row r="84" spans="3:10">
      <c r="C84" s="72"/>
      <c r="D84" s="72"/>
      <c r="E84" s="72"/>
      <c r="F84" s="72"/>
      <c r="G84" s="72"/>
      <c r="H84" s="72"/>
      <c r="I84" s="72"/>
      <c r="J84" s="72"/>
    </row>
    <row r="85" spans="3:10">
      <c r="C85" s="72"/>
      <c r="D85" s="72"/>
      <c r="E85" s="72"/>
      <c r="F85" s="72"/>
      <c r="G85" s="72"/>
      <c r="H85" s="72"/>
      <c r="I85" s="72"/>
      <c r="J85" s="72"/>
    </row>
    <row r="86" spans="3:10">
      <c r="C86" s="72"/>
      <c r="D86" s="72"/>
      <c r="E86" s="72"/>
      <c r="F86" s="72"/>
      <c r="G86" s="72"/>
      <c r="H86" s="72"/>
      <c r="I86" s="72"/>
      <c r="J86" s="72"/>
    </row>
    <row r="87" spans="3:10">
      <c r="C87" s="72"/>
      <c r="D87" s="72"/>
      <c r="E87" s="72"/>
      <c r="F87" s="72"/>
      <c r="G87" s="72"/>
      <c r="H87" s="72"/>
      <c r="I87" s="72"/>
      <c r="J87" s="72"/>
    </row>
    <row r="88" spans="3:10">
      <c r="C88" s="72"/>
      <c r="D88" s="72"/>
      <c r="E88" s="72"/>
      <c r="F88" s="72"/>
      <c r="G88" s="72"/>
      <c r="H88" s="72"/>
      <c r="I88" s="72"/>
      <c r="J88" s="72"/>
    </row>
    <row r="89" spans="3:10">
      <c r="C89" s="72"/>
      <c r="D89" s="72"/>
      <c r="E89" s="72"/>
      <c r="F89" s="72"/>
      <c r="G89" s="72"/>
      <c r="H89" s="72"/>
      <c r="I89" s="72"/>
      <c r="J89" s="72"/>
    </row>
    <row r="90" spans="3:10">
      <c r="C90" s="72"/>
      <c r="D90" s="72"/>
      <c r="E90" s="72"/>
      <c r="F90" s="72"/>
      <c r="G90" s="72"/>
      <c r="H90" s="72"/>
      <c r="I90" s="72"/>
      <c r="J90" s="72"/>
    </row>
    <row r="91" spans="3:10">
      <c r="C91" s="72"/>
      <c r="D91" s="72"/>
      <c r="E91" s="72"/>
      <c r="F91" s="72"/>
      <c r="G91" s="72"/>
      <c r="H91" s="72"/>
      <c r="I91" s="72"/>
      <c r="J91" s="72"/>
    </row>
    <row r="92" spans="3:10">
      <c r="C92" s="72"/>
      <c r="D92" s="72"/>
      <c r="E92" s="72"/>
      <c r="F92" s="72"/>
      <c r="G92" s="72"/>
      <c r="H92" s="72"/>
      <c r="I92" s="72"/>
      <c r="J92" s="72"/>
    </row>
    <row r="93" spans="3:10">
      <c r="C93" s="72"/>
      <c r="D93" s="72"/>
      <c r="E93" s="72"/>
      <c r="F93" s="72"/>
      <c r="G93" s="72"/>
      <c r="H93" s="72"/>
      <c r="I93" s="72"/>
      <c r="J93" s="72"/>
    </row>
    <row r="94" spans="3:10">
      <c r="C94" s="72"/>
      <c r="D94" s="72"/>
      <c r="E94" s="72"/>
      <c r="F94" s="72"/>
      <c r="G94" s="72"/>
      <c r="H94" s="72"/>
      <c r="I94" s="72"/>
      <c r="J94" s="72"/>
    </row>
    <row r="95" spans="3:10"/>
    <row r="96" spans="3:10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</sheetData>
  <mergeCells count="2">
    <mergeCell ref="F1:J1"/>
    <mergeCell ref="C1:E1"/>
  </mergeCells>
  <pageMargins left="0.25" right="0.25" top="0.75" bottom="0.75" header="0.3" footer="0.3"/>
  <pageSetup paperSize="8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1"/>
  <sheetViews>
    <sheetView showGridLines="0" zoomScale="110" zoomScaleNormal="110" workbookViewId="0">
      <pane ySplit="2" topLeftCell="A51" activePane="bottomLeft" state="frozen"/>
      <selection pane="bottomLeft" activeCell="K22" sqref="K22"/>
    </sheetView>
  </sheetViews>
  <sheetFormatPr defaultColWidth="8.6640625" defaultRowHeight="13.8" zeroHeight="1"/>
  <cols>
    <col min="1" max="1" width="3.5546875" style="1" customWidth="1"/>
    <col min="2" max="2" width="53.5546875" style="1" bestFit="1" customWidth="1"/>
    <col min="3" max="5" width="13.88671875" style="1" customWidth="1"/>
    <col min="6" max="10" width="12.5546875" style="1" customWidth="1"/>
    <col min="11" max="16384" width="8.6640625" style="1"/>
  </cols>
  <sheetData>
    <row r="1" spans="1:10" ht="36.75" customHeight="1">
      <c r="A1" s="39" t="s">
        <v>88</v>
      </c>
      <c r="B1" s="6"/>
      <c r="C1" s="142" t="s">
        <v>0</v>
      </c>
      <c r="D1" s="142"/>
      <c r="E1" s="142"/>
      <c r="F1" s="142" t="s">
        <v>1</v>
      </c>
      <c r="G1" s="142"/>
      <c r="H1" s="142"/>
      <c r="I1" s="142"/>
      <c r="J1" s="142"/>
    </row>
    <row r="2" spans="1:10" ht="14.4">
      <c r="A2" s="3" t="s">
        <v>4</v>
      </c>
      <c r="B2" s="7"/>
      <c r="C2" s="38" t="s">
        <v>73</v>
      </c>
      <c r="D2" s="38" t="s">
        <v>74</v>
      </c>
      <c r="E2" s="38" t="s">
        <v>75</v>
      </c>
      <c r="F2" s="2" t="s">
        <v>23</v>
      </c>
      <c r="G2" s="2" t="s">
        <v>24</v>
      </c>
      <c r="H2" s="2" t="s">
        <v>30</v>
      </c>
      <c r="I2" s="2" t="s">
        <v>31</v>
      </c>
      <c r="J2" s="2" t="s">
        <v>32</v>
      </c>
    </row>
    <row r="3" spans="1:10" ht="14.4">
      <c r="A3" s="4"/>
      <c r="B3" s="21"/>
      <c r="C3" s="20"/>
      <c r="D3" s="20"/>
      <c r="E3" s="20"/>
      <c r="F3" s="20"/>
      <c r="G3" s="20"/>
      <c r="H3" s="20"/>
      <c r="I3" s="20"/>
      <c r="J3" s="20"/>
    </row>
    <row r="4" spans="1:10" ht="14.4">
      <c r="A4" s="4"/>
      <c r="B4" s="21"/>
      <c r="C4" s="20"/>
      <c r="D4" s="20"/>
      <c r="E4" s="20"/>
      <c r="F4" s="20"/>
      <c r="G4" s="20"/>
      <c r="H4" s="20"/>
      <c r="I4" s="20"/>
      <c r="J4" s="20"/>
    </row>
    <row r="5" spans="1:10">
      <c r="B5" s="22" t="s">
        <v>3</v>
      </c>
      <c r="C5" s="15"/>
      <c r="D5" s="15"/>
      <c r="E5" s="15"/>
    </row>
    <row r="6" spans="1:10">
      <c r="B6" s="29" t="s">
        <v>131</v>
      </c>
      <c r="C6" s="15"/>
      <c r="D6" s="15"/>
      <c r="E6" s="15"/>
    </row>
    <row r="7" spans="1:10">
      <c r="B7" s="14" t="s">
        <v>132</v>
      </c>
      <c r="C7" s="56">
        <v>1200</v>
      </c>
      <c r="D7" s="56">
        <v>1300</v>
      </c>
      <c r="E7" s="56">
        <v>1400</v>
      </c>
      <c r="F7" s="62">
        <f>'Cash Flow'!F27</f>
        <v>1204.1842616438371</v>
      </c>
      <c r="G7" s="62">
        <f>'Cash Flow'!G27</f>
        <v>1855.8701989079236</v>
      </c>
      <c r="H7" s="62">
        <f>'Cash Flow'!H27</f>
        <v>3831.5006764443078</v>
      </c>
      <c r="I7" s="62">
        <f>'Cash Flow'!I27</f>
        <v>8673.7286649220896</v>
      </c>
      <c r="J7" s="62">
        <f>'Cash Flow'!J27</f>
        <v>16057.031480926604</v>
      </c>
    </row>
    <row r="8" spans="1:10">
      <c r="B8" s="14" t="s">
        <v>16</v>
      </c>
      <c r="C8" s="56">
        <v>1440</v>
      </c>
      <c r="D8" s="56">
        <v>1700</v>
      </c>
      <c r="E8" s="56">
        <v>1960</v>
      </c>
      <c r="F8" s="62">
        <f>'Working Capital'!F7</f>
        <v>2394.2082191780823</v>
      </c>
      <c r="G8" s="62">
        <f>'Working Capital'!G7</f>
        <v>2838.6166575342472</v>
      </c>
      <c r="H8" s="62">
        <f>'Working Capital'!H7</f>
        <v>3366.0952613698632</v>
      </c>
      <c r="I8" s="62">
        <f>'Working Capital'!I7</f>
        <v>3992.2738225534245</v>
      </c>
      <c r="J8" s="62">
        <f>'Working Capital'!J7</f>
        <v>4735.7408211489319</v>
      </c>
    </row>
    <row r="9" spans="1:10">
      <c r="B9" s="14" t="s">
        <v>17</v>
      </c>
      <c r="C9" s="56">
        <f>2800+300</f>
        <v>3100</v>
      </c>
      <c r="D9" s="56">
        <f>3200+360</f>
        <v>3560</v>
      </c>
      <c r="E9" s="56">
        <f>3600+400</f>
        <v>4000</v>
      </c>
      <c r="F9" s="62">
        <f>'Working Capital'!F8</f>
        <v>4354.7134246575342</v>
      </c>
      <c r="G9" s="62">
        <f>'Working Capital'!G8</f>
        <v>5163.3399232876709</v>
      </c>
      <c r="H9" s="62">
        <f>'Working Capital'!H8</f>
        <v>6123.1866985205479</v>
      </c>
      <c r="I9" s="62">
        <f>'Working Capital'!I8</f>
        <v>7262.7208039802736</v>
      </c>
      <c r="J9" s="62">
        <f>'Working Capital'!J8</f>
        <v>8615.8010681049418</v>
      </c>
    </row>
    <row r="10" spans="1:10">
      <c r="B10" s="10" t="s">
        <v>130</v>
      </c>
      <c r="C10" s="75">
        <f t="shared" ref="C10:J10" si="0">SUM(C7:C9)</f>
        <v>5740</v>
      </c>
      <c r="D10" s="75">
        <f t="shared" si="0"/>
        <v>6560</v>
      </c>
      <c r="E10" s="75">
        <f t="shared" si="0"/>
        <v>7360</v>
      </c>
      <c r="F10" s="75">
        <f t="shared" si="0"/>
        <v>7953.1059054794532</v>
      </c>
      <c r="G10" s="75">
        <f t="shared" si="0"/>
        <v>9857.8267797298413</v>
      </c>
      <c r="H10" s="75">
        <f t="shared" si="0"/>
        <v>13320.782636334719</v>
      </c>
      <c r="I10" s="75">
        <f t="shared" si="0"/>
        <v>19928.72329145579</v>
      </c>
      <c r="J10" s="75">
        <f t="shared" si="0"/>
        <v>29408.573370180478</v>
      </c>
    </row>
    <row r="11" spans="1:10">
      <c r="B11" s="12"/>
      <c r="C11" s="76"/>
      <c r="D11" s="76"/>
      <c r="E11" s="76"/>
      <c r="F11" s="76"/>
      <c r="G11" s="76"/>
      <c r="H11" s="76"/>
      <c r="I11" s="76"/>
      <c r="J11" s="76"/>
    </row>
    <row r="12" spans="1:10">
      <c r="B12" s="29" t="s">
        <v>85</v>
      </c>
      <c r="C12" s="59"/>
      <c r="D12" s="59"/>
      <c r="E12" s="59"/>
      <c r="F12" s="59"/>
      <c r="G12" s="59"/>
      <c r="H12" s="59"/>
      <c r="I12" s="59"/>
      <c r="J12" s="59"/>
    </row>
    <row r="13" spans="1:10">
      <c r="B13" s="12" t="s">
        <v>34</v>
      </c>
      <c r="C13" s="56">
        <v>24800</v>
      </c>
      <c r="D13" s="56">
        <v>28100</v>
      </c>
      <c r="E13" s="56">
        <v>31400</v>
      </c>
      <c r="F13" s="77">
        <f>'Dep Capex'!F13</f>
        <v>39330.269999999997</v>
      </c>
      <c r="G13" s="77">
        <f>'Dep Capex'!G13</f>
        <v>48376.3606</v>
      </c>
      <c r="H13" s="77">
        <f>'Dep Capex'!H13</f>
        <v>58466.459827999999</v>
      </c>
      <c r="I13" s="77">
        <f>'Dep Capex'!I13</f>
        <v>68515.244168239995</v>
      </c>
      <c r="J13" s="77">
        <f>'Dep Capex'!J13</f>
        <v>79421.32085311519</v>
      </c>
    </row>
    <row r="14" spans="1:10">
      <c r="B14" s="12"/>
      <c r="C14" s="78"/>
      <c r="D14" s="78"/>
      <c r="E14" s="78"/>
      <c r="F14" s="78"/>
      <c r="G14" s="78"/>
      <c r="H14" s="78"/>
      <c r="I14" s="78"/>
      <c r="J14" s="78"/>
    </row>
    <row r="15" spans="1:10">
      <c r="B15" s="29" t="s">
        <v>133</v>
      </c>
      <c r="C15" s="59"/>
      <c r="D15" s="59"/>
      <c r="E15" s="59"/>
      <c r="F15" s="59"/>
      <c r="G15" s="59"/>
      <c r="H15" s="59"/>
      <c r="I15" s="59"/>
      <c r="J15" s="59"/>
    </row>
    <row r="16" spans="1:10">
      <c r="B16" s="14" t="s">
        <v>5</v>
      </c>
      <c r="C16" s="56">
        <v>1800</v>
      </c>
      <c r="D16" s="56">
        <v>2100</v>
      </c>
      <c r="E16" s="56">
        <v>2400</v>
      </c>
      <c r="F16" s="57">
        <f>E16</f>
        <v>2400</v>
      </c>
      <c r="G16" s="57">
        <f t="shared" ref="G16:J16" si="1">F16</f>
        <v>2400</v>
      </c>
      <c r="H16" s="57">
        <f t="shared" si="1"/>
        <v>2400</v>
      </c>
      <c r="I16" s="57">
        <f t="shared" si="1"/>
        <v>2400</v>
      </c>
      <c r="J16" s="57">
        <f t="shared" si="1"/>
        <v>2400</v>
      </c>
    </row>
    <row r="17" spans="2:10">
      <c r="B17" s="14" t="s">
        <v>21</v>
      </c>
      <c r="C17" s="56">
        <v>0</v>
      </c>
      <c r="D17" s="56">
        <v>0</v>
      </c>
      <c r="E17" s="56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</row>
    <row r="18" spans="2:10">
      <c r="B18" s="10" t="s">
        <v>135</v>
      </c>
      <c r="C18" s="75">
        <f t="shared" ref="C18" si="2">SUM(C16:C17)</f>
        <v>1800</v>
      </c>
      <c r="D18" s="75">
        <f t="shared" ref="D18" si="3">SUM(D16:D17)</f>
        <v>2100</v>
      </c>
      <c r="E18" s="75">
        <f t="shared" ref="E18:J18" si="4">SUM(E16:E17)</f>
        <v>2400</v>
      </c>
      <c r="F18" s="75">
        <f t="shared" si="4"/>
        <v>2400</v>
      </c>
      <c r="G18" s="75">
        <f t="shared" si="4"/>
        <v>2400</v>
      </c>
      <c r="H18" s="75">
        <f t="shared" si="4"/>
        <v>2400</v>
      </c>
      <c r="I18" s="75">
        <f t="shared" si="4"/>
        <v>2400</v>
      </c>
      <c r="J18" s="75">
        <f t="shared" si="4"/>
        <v>2400</v>
      </c>
    </row>
    <row r="19" spans="2:10">
      <c r="B19" s="12"/>
      <c r="C19" s="78"/>
      <c r="D19" s="78"/>
      <c r="E19" s="78"/>
      <c r="F19" s="78"/>
      <c r="G19" s="78"/>
      <c r="H19" s="78"/>
      <c r="I19" s="78"/>
      <c r="J19" s="78"/>
    </row>
    <row r="20" spans="2:10" ht="14.4" thickBot="1">
      <c r="B20" s="44" t="s">
        <v>134</v>
      </c>
      <c r="C20" s="79">
        <f t="shared" ref="C20:J20" si="5">C10+C13+C18</f>
        <v>32340</v>
      </c>
      <c r="D20" s="79">
        <f t="shared" si="5"/>
        <v>36760</v>
      </c>
      <c r="E20" s="79">
        <f t="shared" si="5"/>
        <v>41160</v>
      </c>
      <c r="F20" s="79">
        <f t="shared" si="5"/>
        <v>49683.37590547945</v>
      </c>
      <c r="G20" s="79">
        <f t="shared" si="5"/>
        <v>60634.187379729839</v>
      </c>
      <c r="H20" s="79">
        <f t="shared" si="5"/>
        <v>74187.242464334719</v>
      </c>
      <c r="I20" s="79">
        <f t="shared" si="5"/>
        <v>90843.967459695792</v>
      </c>
      <c r="J20" s="79">
        <f t="shared" si="5"/>
        <v>111229.89422329568</v>
      </c>
    </row>
    <row r="21" spans="2:10" ht="14.4" thickTop="1">
      <c r="B21" s="14"/>
      <c r="C21" s="80"/>
      <c r="D21" s="80"/>
      <c r="E21" s="80"/>
      <c r="F21" s="80"/>
      <c r="G21" s="80"/>
      <c r="H21" s="80"/>
      <c r="I21" s="80"/>
      <c r="J21" s="80"/>
    </row>
    <row r="22" spans="2:10">
      <c r="B22" s="22" t="s">
        <v>9</v>
      </c>
      <c r="C22" s="59"/>
      <c r="D22" s="59"/>
      <c r="E22" s="59"/>
      <c r="F22" s="59"/>
      <c r="G22" s="59"/>
      <c r="H22" s="59"/>
      <c r="I22" s="59"/>
      <c r="J22" s="59"/>
    </row>
    <row r="23" spans="2:10">
      <c r="B23" s="29" t="s">
        <v>123</v>
      </c>
      <c r="C23" s="59"/>
      <c r="D23" s="59"/>
      <c r="E23" s="59"/>
      <c r="F23" s="59"/>
      <c r="G23" s="59"/>
      <c r="H23" s="59"/>
      <c r="I23" s="59"/>
      <c r="J23" s="59"/>
    </row>
    <row r="24" spans="2:10">
      <c r="B24" s="14" t="s">
        <v>38</v>
      </c>
      <c r="C24" s="56">
        <f>1800+400</f>
        <v>2200</v>
      </c>
      <c r="D24" s="56">
        <f>2000+480</f>
        <v>2480</v>
      </c>
      <c r="E24" s="56">
        <f>2200+560</f>
        <v>2760</v>
      </c>
      <c r="F24" s="62">
        <f>'Working Capital'!F9</f>
        <v>2986.0892054794522</v>
      </c>
      <c r="G24" s="62">
        <f>'Working Capital'!G9</f>
        <v>3540.5759473972603</v>
      </c>
      <c r="H24" s="62">
        <f>'Working Capital'!H9</f>
        <v>4198.7565932712323</v>
      </c>
      <c r="I24" s="62">
        <f>'Working Capital'!I9</f>
        <v>4980.1514084436158</v>
      </c>
      <c r="J24" s="62">
        <f>'Working Capital'!J9</f>
        <v>5907.9778752719594</v>
      </c>
    </row>
    <row r="25" spans="2:10">
      <c r="B25" s="10" t="s">
        <v>124</v>
      </c>
      <c r="C25" s="81">
        <f t="shared" ref="C25:J25" si="6">SUM(C24:C24)</f>
        <v>2200</v>
      </c>
      <c r="D25" s="81">
        <f t="shared" si="6"/>
        <v>2480</v>
      </c>
      <c r="E25" s="81">
        <f t="shared" si="6"/>
        <v>2760</v>
      </c>
      <c r="F25" s="81">
        <f t="shared" si="6"/>
        <v>2986.0892054794522</v>
      </c>
      <c r="G25" s="81">
        <f t="shared" si="6"/>
        <v>3540.5759473972603</v>
      </c>
      <c r="H25" s="81">
        <f t="shared" si="6"/>
        <v>4198.7565932712323</v>
      </c>
      <c r="I25" s="81">
        <f t="shared" si="6"/>
        <v>4980.1514084436158</v>
      </c>
      <c r="J25" s="81">
        <f t="shared" si="6"/>
        <v>5907.9778752719594</v>
      </c>
    </row>
    <row r="26" spans="2:10">
      <c r="B26" s="12"/>
      <c r="C26" s="82"/>
      <c r="D26" s="82"/>
      <c r="E26" s="82"/>
      <c r="F26" s="82"/>
      <c r="G26" s="82"/>
      <c r="H26" s="82"/>
      <c r="I26" s="82"/>
      <c r="J26" s="82"/>
    </row>
    <row r="27" spans="2:10">
      <c r="B27" s="24" t="s">
        <v>64</v>
      </c>
      <c r="C27" s="56">
        <v>21000</v>
      </c>
      <c r="D27" s="56">
        <v>23100</v>
      </c>
      <c r="E27" s="56">
        <v>25200</v>
      </c>
      <c r="F27" s="62">
        <f>Debt!F10</f>
        <v>24200</v>
      </c>
      <c r="G27" s="62">
        <f>Debt!G10</f>
        <v>23200</v>
      </c>
      <c r="H27" s="62">
        <f>Debt!H10</f>
        <v>22200</v>
      </c>
      <c r="I27" s="62">
        <f>Debt!I10</f>
        <v>21200</v>
      </c>
      <c r="J27" s="62">
        <f>Debt!J10</f>
        <v>20200</v>
      </c>
    </row>
    <row r="28" spans="2:10">
      <c r="B28" s="51" t="s">
        <v>77</v>
      </c>
      <c r="C28" s="81">
        <f t="shared" ref="C28:J28" si="7">SUM(C27:C27)</f>
        <v>21000</v>
      </c>
      <c r="D28" s="81">
        <f t="shared" si="7"/>
        <v>23100</v>
      </c>
      <c r="E28" s="81">
        <f t="shared" si="7"/>
        <v>25200</v>
      </c>
      <c r="F28" s="81">
        <f t="shared" si="7"/>
        <v>24200</v>
      </c>
      <c r="G28" s="81">
        <f t="shared" si="7"/>
        <v>23200</v>
      </c>
      <c r="H28" s="81">
        <f t="shared" si="7"/>
        <v>22200</v>
      </c>
      <c r="I28" s="81">
        <f t="shared" si="7"/>
        <v>21200</v>
      </c>
      <c r="J28" s="81">
        <f t="shared" si="7"/>
        <v>20200</v>
      </c>
    </row>
    <row r="29" spans="2:10">
      <c r="C29" s="56"/>
      <c r="D29" s="56"/>
      <c r="E29" s="62"/>
      <c r="F29" s="30"/>
      <c r="G29" s="30"/>
      <c r="H29" s="30"/>
      <c r="I29" s="30"/>
      <c r="J29" s="30"/>
    </row>
    <row r="30" spans="2:10">
      <c r="B30" s="14" t="s">
        <v>101</v>
      </c>
      <c r="C30" s="56">
        <v>2000</v>
      </c>
      <c r="D30" s="56">
        <v>2200</v>
      </c>
      <c r="E30" s="61">
        <v>2400</v>
      </c>
      <c r="F30" s="57">
        <f>E30</f>
        <v>2400</v>
      </c>
      <c r="G30" s="57">
        <f t="shared" ref="G30:J30" si="8">F30</f>
        <v>2400</v>
      </c>
      <c r="H30" s="57">
        <f t="shared" si="8"/>
        <v>2400</v>
      </c>
      <c r="I30" s="57">
        <f t="shared" si="8"/>
        <v>2400</v>
      </c>
      <c r="J30" s="57">
        <f t="shared" si="8"/>
        <v>2400</v>
      </c>
    </row>
    <row r="31" spans="2:10">
      <c r="B31" s="14" t="s">
        <v>70</v>
      </c>
      <c r="C31" s="56">
        <v>-1000</v>
      </c>
      <c r="D31" s="56">
        <v>-1100</v>
      </c>
      <c r="E31" s="61">
        <v>-1200</v>
      </c>
      <c r="F31" s="57">
        <f>E31</f>
        <v>-1200</v>
      </c>
      <c r="G31" s="57">
        <f t="shared" ref="G31:J31" si="9">F31</f>
        <v>-1200</v>
      </c>
      <c r="H31" s="57">
        <f t="shared" si="9"/>
        <v>-1200</v>
      </c>
      <c r="I31" s="57">
        <f t="shared" si="9"/>
        <v>-1200</v>
      </c>
      <c r="J31" s="57">
        <f t="shared" si="9"/>
        <v>-1200</v>
      </c>
    </row>
    <row r="32" spans="2:10">
      <c r="B32" s="14" t="s">
        <v>71</v>
      </c>
      <c r="C32" s="56">
        <v>8140</v>
      </c>
      <c r="D32" s="56">
        <v>10080</v>
      </c>
      <c r="E32" s="61">
        <v>12000</v>
      </c>
      <c r="F32" s="62">
        <f>E32+'Income Statement'!F30</f>
        <v>21297.286700000001</v>
      </c>
      <c r="G32" s="62">
        <f>F32+'Income Statement'!G30</f>
        <v>32693.611432332582</v>
      </c>
      <c r="H32" s="62">
        <f>G32+'Income Statement'!H30</f>
        <v>46588.485871063487</v>
      </c>
      <c r="I32" s="62">
        <f>H32+'Income Statement'!I30</f>
        <v>63463.816051252172</v>
      </c>
      <c r="J32" s="62">
        <f>I32+'Income Statement'!J30</f>
        <v>83921.916348023718</v>
      </c>
    </row>
    <row r="33" spans="2:10">
      <c r="B33" s="45" t="s">
        <v>122</v>
      </c>
      <c r="C33" s="83">
        <f t="shared" ref="C33:J33" si="10">SUM(C30:C32)</f>
        <v>9140</v>
      </c>
      <c r="D33" s="83">
        <f t="shared" si="10"/>
        <v>11180</v>
      </c>
      <c r="E33" s="83">
        <f t="shared" si="10"/>
        <v>13200</v>
      </c>
      <c r="F33" s="83">
        <f t="shared" si="10"/>
        <v>22497.286700000001</v>
      </c>
      <c r="G33" s="83">
        <f t="shared" si="10"/>
        <v>33893.611432332582</v>
      </c>
      <c r="H33" s="83">
        <f t="shared" si="10"/>
        <v>47788.485871063487</v>
      </c>
      <c r="I33" s="83">
        <f t="shared" si="10"/>
        <v>64663.816051252172</v>
      </c>
      <c r="J33" s="83">
        <f t="shared" si="10"/>
        <v>85121.916348023718</v>
      </c>
    </row>
    <row r="34" spans="2:10">
      <c r="B34" s="12"/>
      <c r="C34" s="60"/>
      <c r="D34" s="60"/>
      <c r="E34" s="60"/>
      <c r="F34" s="60"/>
      <c r="G34" s="60"/>
      <c r="H34" s="60"/>
      <c r="I34" s="60"/>
      <c r="J34" s="60"/>
    </row>
    <row r="35" spans="2:10" ht="14.4" thickBot="1">
      <c r="B35" s="44" t="s">
        <v>136</v>
      </c>
      <c r="C35" s="79">
        <f t="shared" ref="C35:J35" si="11">C33+C25+C28</f>
        <v>32340</v>
      </c>
      <c r="D35" s="79">
        <f t="shared" si="11"/>
        <v>36760</v>
      </c>
      <c r="E35" s="79">
        <f t="shared" si="11"/>
        <v>41160</v>
      </c>
      <c r="F35" s="79">
        <f t="shared" si="11"/>
        <v>49683.37590547945</v>
      </c>
      <c r="G35" s="79">
        <f t="shared" si="11"/>
        <v>60634.187379729839</v>
      </c>
      <c r="H35" s="79">
        <f t="shared" si="11"/>
        <v>74187.242464334719</v>
      </c>
      <c r="I35" s="79">
        <f t="shared" si="11"/>
        <v>90843.967459695792</v>
      </c>
      <c r="J35" s="79">
        <f t="shared" si="11"/>
        <v>111229.89422329568</v>
      </c>
    </row>
    <row r="36" spans="2:10" ht="14.4" thickTop="1">
      <c r="B36" s="14"/>
      <c r="C36" s="30"/>
      <c r="D36" s="30"/>
      <c r="E36" s="30"/>
      <c r="F36" s="30"/>
      <c r="G36" s="30"/>
      <c r="H36" s="30"/>
      <c r="I36" s="30"/>
      <c r="J36" s="30"/>
    </row>
    <row r="37" spans="2:10">
      <c r="B37" s="14" t="s">
        <v>8</v>
      </c>
      <c r="C37" s="84">
        <f t="shared" ref="C37:J37" si="12">C20-C35</f>
        <v>0</v>
      </c>
      <c r="D37" s="84">
        <f t="shared" si="12"/>
        <v>0</v>
      </c>
      <c r="E37" s="84">
        <f t="shared" si="12"/>
        <v>0</v>
      </c>
      <c r="F37" s="84">
        <f t="shared" si="12"/>
        <v>0</v>
      </c>
      <c r="G37" s="84">
        <f t="shared" si="12"/>
        <v>0</v>
      </c>
      <c r="H37" s="84">
        <f t="shared" si="12"/>
        <v>0</v>
      </c>
      <c r="I37" s="84">
        <f t="shared" si="12"/>
        <v>0</v>
      </c>
      <c r="J37" s="84">
        <f t="shared" si="12"/>
        <v>0</v>
      </c>
    </row>
    <row r="38" spans="2:10">
      <c r="B38" s="14"/>
      <c r="C38" s="30"/>
      <c r="D38" s="30"/>
      <c r="E38" s="30"/>
      <c r="F38" s="30"/>
      <c r="G38" s="30"/>
      <c r="H38" s="30"/>
      <c r="I38" s="30"/>
      <c r="J38" s="30"/>
    </row>
    <row r="39" spans="2:10">
      <c r="B39" s="17" t="s">
        <v>107</v>
      </c>
      <c r="C39" s="30"/>
      <c r="D39" s="30"/>
      <c r="E39" s="30"/>
      <c r="F39" s="30"/>
      <c r="G39" s="30"/>
      <c r="H39" s="30"/>
      <c r="I39" s="30"/>
      <c r="J39" s="30"/>
    </row>
    <row r="40" spans="2:10">
      <c r="B40" s="1" t="s">
        <v>110</v>
      </c>
      <c r="C40" s="99">
        <f>C10/C25</f>
        <v>2.6090909090909089</v>
      </c>
      <c r="D40" s="99">
        <f t="shared" ref="D40:E40" si="13">D10/D25</f>
        <v>2.6451612903225805</v>
      </c>
      <c r="E40" s="99">
        <f t="shared" si="13"/>
        <v>2.6666666666666665</v>
      </c>
      <c r="F40" s="99">
        <f t="shared" ref="F40:J40" si="14">F10/F25</f>
        <v>2.6633852367456274</v>
      </c>
      <c r="G40" s="99">
        <f t="shared" si="14"/>
        <v>2.784243842298173</v>
      </c>
      <c r="H40" s="99">
        <f t="shared" si="14"/>
        <v>3.1725541455968416</v>
      </c>
      <c r="I40" s="99">
        <f t="shared" si="14"/>
        <v>4.0016300021857898</v>
      </c>
      <c r="J40" s="99">
        <f t="shared" si="14"/>
        <v>4.9777731046135179</v>
      </c>
    </row>
    <row r="41" spans="2:10">
      <c r="B41" s="1" t="s">
        <v>108</v>
      </c>
      <c r="C41" s="99">
        <f>(C7+C8)/C25</f>
        <v>1.2</v>
      </c>
      <c r="D41" s="99">
        <f t="shared" ref="D41:E41" si="15">(D7+D8)/D25</f>
        <v>1.2096774193548387</v>
      </c>
      <c r="E41" s="99">
        <f t="shared" si="15"/>
        <v>1.2173913043478262</v>
      </c>
      <c r="F41" s="99">
        <f t="shared" ref="F41:J41" si="16">(F7+F8)/F25</f>
        <v>1.2050519034122944</v>
      </c>
      <c r="G41" s="99">
        <f t="shared" si="16"/>
        <v>1.3259105089648395</v>
      </c>
      <c r="H41" s="99">
        <f t="shared" si="16"/>
        <v>1.7142208122635079</v>
      </c>
      <c r="I41" s="99">
        <f t="shared" si="16"/>
        <v>2.5432966688524559</v>
      </c>
      <c r="J41" s="99">
        <f t="shared" si="16"/>
        <v>3.5194397712801848</v>
      </c>
    </row>
    <row r="42" spans="2:10">
      <c r="B42" s="1" t="s">
        <v>109</v>
      </c>
      <c r="C42" s="99">
        <f>C7/C25</f>
        <v>0.54545454545454541</v>
      </c>
      <c r="D42" s="99">
        <f t="shared" ref="D42:E42" si="17">D7/D25</f>
        <v>0.52419354838709675</v>
      </c>
      <c r="E42" s="99">
        <f t="shared" si="17"/>
        <v>0.50724637681159424</v>
      </c>
      <c r="F42" s="99">
        <f t="shared" ref="F42:J42" si="18">F7/F25</f>
        <v>0.40326466450974324</v>
      </c>
      <c r="G42" s="99">
        <f t="shared" si="18"/>
        <v>0.5241718371476275</v>
      </c>
      <c r="H42" s="99">
        <f t="shared" si="18"/>
        <v>0.91253222027314596</v>
      </c>
      <c r="I42" s="99">
        <f t="shared" si="18"/>
        <v>1.7416596311140631</v>
      </c>
      <c r="J42" s="99">
        <f t="shared" si="18"/>
        <v>2.7178557232134959</v>
      </c>
    </row>
    <row r="43" spans="2:10">
      <c r="C43" s="30"/>
      <c r="D43" s="30"/>
      <c r="E43" s="30"/>
      <c r="F43" s="30"/>
      <c r="G43" s="30"/>
      <c r="H43" s="30"/>
      <c r="I43" s="30"/>
      <c r="J43" s="30"/>
    </row>
    <row r="44" spans="2:10">
      <c r="B44" s="17" t="s">
        <v>111</v>
      </c>
      <c r="C44" s="30"/>
      <c r="D44" s="30"/>
      <c r="E44" s="30"/>
      <c r="F44" s="30"/>
      <c r="G44" s="30"/>
      <c r="H44" s="30"/>
      <c r="I44" s="30"/>
      <c r="J44" s="30"/>
    </row>
    <row r="45" spans="2:10">
      <c r="B45" s="1" t="s">
        <v>112</v>
      </c>
      <c r="C45" s="100">
        <f>C28/C33</f>
        <v>2.2975929978118161</v>
      </c>
      <c r="D45" s="100">
        <f t="shared" ref="D45:E45" si="19">D28/D33</f>
        <v>2.0661896243291591</v>
      </c>
      <c r="E45" s="100">
        <f t="shared" si="19"/>
        <v>1.9090909090909092</v>
      </c>
      <c r="F45" s="100">
        <f t="shared" ref="F45:J45" si="20">F28/F33</f>
        <v>1.0756852736379094</v>
      </c>
      <c r="G45" s="100">
        <f t="shared" si="20"/>
        <v>0.68449477702657902</v>
      </c>
      <c r="H45" s="100">
        <f t="shared" si="20"/>
        <v>0.46454704716732553</v>
      </c>
      <c r="I45" s="100">
        <f t="shared" si="20"/>
        <v>0.32784950370384885</v>
      </c>
      <c r="J45" s="100">
        <f t="shared" si="20"/>
        <v>0.23730668747413586</v>
      </c>
    </row>
    <row r="46" spans="2:10">
      <c r="C46" s="30"/>
      <c r="D46" s="30"/>
      <c r="E46" s="30"/>
      <c r="F46" s="30"/>
      <c r="G46" s="30"/>
      <c r="H46" s="30"/>
      <c r="I46" s="30"/>
      <c r="J46" s="30"/>
    </row>
    <row r="47" spans="2:10">
      <c r="B47" s="17" t="s">
        <v>113</v>
      </c>
      <c r="C47" s="101">
        <f>'Income Statement'!C30/'Balance Sheet'!C33</f>
        <v>0.4786652078774617</v>
      </c>
      <c r="D47" s="101">
        <f>'Income Statement'!D30/'Balance Sheet'!D33</f>
        <v>0.53779069767441856</v>
      </c>
      <c r="E47" s="101">
        <f>'Income Statement'!E30/'Balance Sheet'!E33</f>
        <v>0.60227272727272729</v>
      </c>
      <c r="F47" s="101">
        <f>'Income Statement'!F30/'Balance Sheet'!F33</f>
        <v>0.41326257801568578</v>
      </c>
      <c r="G47" s="101">
        <f>'Income Statement'!G30/'Balance Sheet'!G33</f>
        <v>0.33623813605950331</v>
      </c>
      <c r="H47" s="101">
        <f>'Income Statement'!H30/'Balance Sheet'!H33</f>
        <v>0.29075778789518886</v>
      </c>
      <c r="I47" s="101">
        <f>'Income Statement'!I30/'Balance Sheet'!I33</f>
        <v>0.26097021813270954</v>
      </c>
      <c r="J47" s="101">
        <f>'Income Statement'!J30/'Balance Sheet'!J33</f>
        <v>0.24033881254655898</v>
      </c>
    </row>
    <row r="48" spans="2:10">
      <c r="C48" s="30"/>
      <c r="D48" s="30"/>
      <c r="E48" s="30"/>
      <c r="F48" s="30"/>
      <c r="G48" s="30"/>
      <c r="H48" s="30"/>
      <c r="I48" s="30"/>
      <c r="J48" s="30"/>
    </row>
    <row r="49" spans="2:10">
      <c r="B49" s="1" t="s">
        <v>125</v>
      </c>
      <c r="C49" s="30"/>
      <c r="D49" s="30"/>
      <c r="E49" s="30"/>
      <c r="F49" s="30"/>
      <c r="G49" s="30"/>
      <c r="H49" s="30"/>
      <c r="I49" s="30"/>
      <c r="J49" s="30"/>
    </row>
    <row r="50" spans="2:10">
      <c r="B50" s="1" t="s">
        <v>126</v>
      </c>
      <c r="C50" s="30"/>
      <c r="D50" s="30"/>
      <c r="E50" s="30"/>
      <c r="F50" s="30"/>
      <c r="G50" s="30"/>
      <c r="H50" s="30"/>
      <c r="I50" s="30"/>
      <c r="J50" s="30"/>
    </row>
    <row r="51" spans="2:10">
      <c r="B51" s="1" t="s">
        <v>127</v>
      </c>
      <c r="C51" s="30"/>
      <c r="D51" s="30"/>
      <c r="E51" s="30"/>
      <c r="F51" s="30"/>
      <c r="G51" s="30"/>
      <c r="H51" s="30"/>
      <c r="I51" s="30"/>
      <c r="J51" s="30"/>
    </row>
    <row r="52" spans="2:10">
      <c r="B52" s="1" t="s">
        <v>128</v>
      </c>
      <c r="C52" s="30"/>
      <c r="D52" s="30"/>
      <c r="E52" s="30"/>
      <c r="F52" s="30"/>
      <c r="G52" s="30"/>
      <c r="H52" s="30"/>
      <c r="I52" s="30"/>
      <c r="J52" s="30"/>
    </row>
    <row r="53" spans="2:10">
      <c r="B53" s="1" t="s">
        <v>129</v>
      </c>
      <c r="C53" s="30"/>
      <c r="D53" s="30"/>
      <c r="E53" s="30"/>
      <c r="F53" s="30"/>
      <c r="G53" s="30"/>
      <c r="H53" s="30"/>
      <c r="I53" s="30"/>
      <c r="J53" s="30"/>
    </row>
    <row r="54" spans="2:10">
      <c r="C54" s="30"/>
      <c r="D54" s="30"/>
      <c r="E54" s="30"/>
      <c r="F54" s="30"/>
      <c r="G54" s="30"/>
      <c r="H54" s="30"/>
      <c r="I54" s="30"/>
      <c r="J54" s="30"/>
    </row>
    <row r="55" spans="2:10">
      <c r="C55" s="30"/>
      <c r="D55" s="30"/>
      <c r="E55" s="30"/>
      <c r="F55" s="30"/>
      <c r="G55" s="30"/>
      <c r="H55" s="30"/>
      <c r="I55" s="30"/>
      <c r="J55" s="30"/>
    </row>
    <row r="56" spans="2:10">
      <c r="C56" s="30"/>
      <c r="D56" s="30"/>
      <c r="E56" s="30"/>
      <c r="F56" s="30"/>
      <c r="G56" s="30"/>
      <c r="H56" s="30"/>
      <c r="I56" s="30"/>
      <c r="J56" s="30"/>
    </row>
    <row r="57" spans="2:10">
      <c r="C57" s="30"/>
      <c r="D57" s="30"/>
      <c r="E57" s="30"/>
      <c r="F57" s="30"/>
      <c r="G57" s="30"/>
      <c r="H57" s="30"/>
      <c r="I57" s="30"/>
      <c r="J57" s="30"/>
    </row>
    <row r="58" spans="2:10">
      <c r="C58" s="30"/>
      <c r="D58" s="30"/>
      <c r="E58" s="30"/>
      <c r="F58" s="30"/>
      <c r="G58" s="30"/>
      <c r="H58" s="30"/>
      <c r="I58" s="30"/>
      <c r="J58" s="30"/>
    </row>
    <row r="59" spans="2:10">
      <c r="C59" s="30"/>
      <c r="D59" s="30"/>
      <c r="E59" s="30"/>
      <c r="F59" s="30"/>
      <c r="G59" s="30"/>
      <c r="H59" s="30"/>
      <c r="I59" s="30"/>
      <c r="J59" s="30"/>
    </row>
    <row r="60" spans="2:10">
      <c r="C60" s="30"/>
      <c r="D60" s="30"/>
      <c r="E60" s="30"/>
      <c r="F60" s="30"/>
      <c r="G60" s="30"/>
      <c r="H60" s="30"/>
      <c r="I60" s="30"/>
      <c r="J60" s="30"/>
    </row>
    <row r="61" spans="2:10">
      <c r="C61" s="30"/>
      <c r="D61" s="30"/>
      <c r="E61" s="30"/>
      <c r="F61" s="30"/>
      <c r="G61" s="30"/>
      <c r="H61" s="30"/>
      <c r="I61" s="30"/>
      <c r="J61" s="30"/>
    </row>
    <row r="62" spans="2:10">
      <c r="C62" s="30"/>
      <c r="D62" s="30"/>
      <c r="E62" s="30"/>
      <c r="F62" s="30"/>
      <c r="G62" s="30"/>
      <c r="H62" s="30"/>
      <c r="I62" s="30"/>
      <c r="J62" s="30"/>
    </row>
    <row r="63" spans="2:10">
      <c r="C63" s="30"/>
      <c r="D63" s="30"/>
      <c r="E63" s="30"/>
      <c r="F63" s="30"/>
      <c r="G63" s="30"/>
      <c r="H63" s="30"/>
      <c r="I63" s="30"/>
      <c r="J63" s="30"/>
    </row>
    <row r="64" spans="2:10">
      <c r="C64" s="30"/>
      <c r="D64" s="30"/>
      <c r="E64" s="30"/>
      <c r="F64" s="30"/>
      <c r="G64" s="30"/>
      <c r="H64" s="30"/>
      <c r="I64" s="30"/>
      <c r="J64" s="30"/>
    </row>
    <row r="65" spans="3:10">
      <c r="C65" s="30"/>
      <c r="D65" s="30"/>
      <c r="E65" s="30"/>
      <c r="F65" s="30"/>
      <c r="G65" s="30"/>
      <c r="H65" s="30"/>
      <c r="I65" s="30"/>
      <c r="J65" s="30"/>
    </row>
    <row r="66" spans="3:10">
      <c r="C66" s="30"/>
      <c r="D66" s="30"/>
      <c r="E66" s="30"/>
      <c r="F66" s="30"/>
      <c r="G66" s="30"/>
      <c r="H66" s="30"/>
      <c r="I66" s="30"/>
      <c r="J66" s="30"/>
    </row>
    <row r="67" spans="3:10">
      <c r="C67" s="30"/>
      <c r="D67" s="30"/>
      <c r="E67" s="30"/>
      <c r="F67" s="30"/>
      <c r="G67" s="30"/>
      <c r="H67" s="30"/>
      <c r="I67" s="30"/>
      <c r="J67" s="30"/>
    </row>
    <row r="68" spans="3:10">
      <c r="C68" s="30"/>
      <c r="D68" s="30"/>
      <c r="E68" s="30"/>
      <c r="F68" s="30"/>
      <c r="G68" s="30"/>
      <c r="H68" s="30"/>
      <c r="I68" s="30"/>
      <c r="J68" s="30"/>
    </row>
    <row r="69" spans="3:10">
      <c r="C69" s="30"/>
      <c r="D69" s="30"/>
      <c r="E69" s="30"/>
      <c r="F69" s="30"/>
      <c r="G69" s="30"/>
      <c r="H69" s="30"/>
      <c r="I69" s="30"/>
      <c r="J69" s="30"/>
    </row>
    <row r="70" spans="3:10">
      <c r="C70" s="30"/>
      <c r="D70" s="30"/>
      <c r="E70" s="30"/>
      <c r="F70" s="30"/>
      <c r="G70" s="30"/>
      <c r="H70" s="30"/>
      <c r="I70" s="30"/>
      <c r="J70" s="30"/>
    </row>
    <row r="71" spans="3:10">
      <c r="C71" s="30"/>
      <c r="D71" s="30"/>
      <c r="E71" s="30"/>
      <c r="F71" s="30"/>
      <c r="G71" s="30"/>
      <c r="H71" s="30"/>
      <c r="I71" s="30"/>
      <c r="J71" s="30"/>
    </row>
    <row r="72" spans="3:10">
      <c r="C72" s="30"/>
      <c r="D72" s="30"/>
      <c r="E72" s="30"/>
      <c r="F72" s="30"/>
      <c r="G72" s="30"/>
      <c r="H72" s="30"/>
      <c r="I72" s="30"/>
      <c r="J72" s="30"/>
    </row>
    <row r="73" spans="3:10">
      <c r="C73" s="30"/>
      <c r="D73" s="30"/>
      <c r="E73" s="30"/>
      <c r="F73" s="30"/>
      <c r="G73" s="30"/>
      <c r="H73" s="30"/>
      <c r="I73" s="30"/>
      <c r="J73" s="30"/>
    </row>
    <row r="74" spans="3:10">
      <c r="C74" s="30"/>
      <c r="D74" s="30"/>
      <c r="E74" s="30"/>
      <c r="F74" s="30"/>
      <c r="G74" s="30"/>
      <c r="H74" s="30"/>
      <c r="I74" s="30"/>
      <c r="J74" s="30"/>
    </row>
    <row r="75" spans="3:10">
      <c r="C75" s="30"/>
      <c r="D75" s="30"/>
      <c r="E75" s="30"/>
      <c r="F75" s="30"/>
      <c r="G75" s="30"/>
      <c r="H75" s="30"/>
      <c r="I75" s="30"/>
      <c r="J75" s="30"/>
    </row>
    <row r="76" spans="3:10">
      <c r="C76" s="30"/>
      <c r="D76" s="30"/>
      <c r="E76" s="30"/>
      <c r="F76" s="30"/>
      <c r="G76" s="30"/>
      <c r="H76" s="30"/>
      <c r="I76" s="30"/>
      <c r="J76" s="30"/>
    </row>
    <row r="77" spans="3:10">
      <c r="C77" s="30"/>
      <c r="D77" s="30"/>
      <c r="E77" s="30"/>
      <c r="F77" s="30"/>
      <c r="G77" s="30"/>
      <c r="H77" s="30"/>
      <c r="I77" s="30"/>
      <c r="J77" s="30"/>
    </row>
    <row r="78" spans="3:10">
      <c r="C78" s="30"/>
      <c r="D78" s="30"/>
      <c r="E78" s="30"/>
      <c r="F78" s="30"/>
      <c r="G78" s="30"/>
      <c r="H78" s="30"/>
      <c r="I78" s="30"/>
      <c r="J78" s="30"/>
    </row>
    <row r="79" spans="3:10">
      <c r="C79" s="30"/>
      <c r="D79" s="30"/>
      <c r="E79" s="30"/>
      <c r="F79" s="30"/>
      <c r="G79" s="30"/>
      <c r="H79" s="30"/>
      <c r="I79" s="30"/>
      <c r="J79" s="30"/>
    </row>
    <row r="80" spans="3:10">
      <c r="C80" s="30"/>
      <c r="D80" s="30"/>
      <c r="E80" s="30"/>
      <c r="F80" s="30"/>
      <c r="G80" s="30"/>
      <c r="H80" s="30"/>
      <c r="I80" s="30"/>
      <c r="J80" s="30"/>
    </row>
    <row r="81" spans="3:10">
      <c r="C81" s="30"/>
      <c r="D81" s="30"/>
      <c r="E81" s="30"/>
      <c r="F81" s="30"/>
      <c r="G81" s="30"/>
      <c r="H81" s="30"/>
      <c r="I81" s="30"/>
      <c r="J81" s="30"/>
    </row>
    <row r="82" spans="3:10">
      <c r="C82" s="30"/>
      <c r="D82" s="30"/>
      <c r="E82" s="30"/>
      <c r="F82" s="30"/>
      <c r="G82" s="30"/>
      <c r="H82" s="30"/>
      <c r="I82" s="30"/>
      <c r="J82" s="30"/>
    </row>
    <row r="83" spans="3:10">
      <c r="C83" s="30"/>
      <c r="D83" s="30"/>
      <c r="E83" s="30"/>
      <c r="F83" s="30"/>
      <c r="G83" s="30"/>
      <c r="H83" s="30"/>
      <c r="I83" s="30"/>
      <c r="J83" s="30"/>
    </row>
    <row r="84" spans="3:10">
      <c r="C84" s="30"/>
      <c r="D84" s="30"/>
      <c r="E84" s="30"/>
      <c r="F84" s="30"/>
      <c r="G84" s="30"/>
      <c r="H84" s="30"/>
      <c r="I84" s="30"/>
      <c r="J84" s="30"/>
    </row>
    <row r="85" spans="3:10">
      <c r="C85" s="30"/>
      <c r="D85" s="30"/>
      <c r="E85" s="30"/>
      <c r="F85" s="30"/>
      <c r="G85" s="30"/>
      <c r="H85" s="30"/>
      <c r="I85" s="30"/>
      <c r="J85" s="30"/>
    </row>
    <row r="86" spans="3:10">
      <c r="C86" s="30"/>
      <c r="D86" s="30"/>
      <c r="E86" s="30"/>
      <c r="F86" s="30"/>
      <c r="G86" s="30"/>
      <c r="H86" s="30"/>
      <c r="I86" s="30"/>
      <c r="J86" s="30"/>
    </row>
    <row r="87" spans="3:10">
      <c r="C87" s="30"/>
      <c r="D87" s="30"/>
      <c r="E87" s="30"/>
      <c r="F87" s="30"/>
      <c r="G87" s="30"/>
      <c r="H87" s="30"/>
      <c r="I87" s="30"/>
      <c r="J87" s="30"/>
    </row>
    <row r="88" spans="3:10">
      <c r="C88" s="30"/>
      <c r="D88" s="30"/>
      <c r="E88" s="30"/>
      <c r="F88" s="30"/>
      <c r="G88" s="30"/>
      <c r="H88" s="30"/>
      <c r="I88" s="30"/>
      <c r="J88" s="30"/>
    </row>
    <row r="89" spans="3:10">
      <c r="C89" s="30"/>
      <c r="D89" s="30"/>
      <c r="E89" s="30"/>
      <c r="F89" s="30"/>
      <c r="G89" s="30"/>
      <c r="H89" s="30"/>
      <c r="I89" s="30"/>
      <c r="J89" s="30"/>
    </row>
    <row r="90" spans="3:10">
      <c r="C90" s="30"/>
      <c r="D90" s="30"/>
      <c r="E90" s="30"/>
      <c r="F90" s="30"/>
      <c r="G90" s="30"/>
      <c r="H90" s="30"/>
      <c r="I90" s="30"/>
      <c r="J90" s="30"/>
    </row>
    <row r="91" spans="3:10">
      <c r="C91" s="30"/>
      <c r="D91" s="30"/>
      <c r="E91" s="30"/>
      <c r="F91" s="30"/>
      <c r="G91" s="30"/>
      <c r="H91" s="30"/>
      <c r="I91" s="30"/>
      <c r="J91" s="30"/>
    </row>
    <row r="92" spans="3:10">
      <c r="C92" s="30"/>
      <c r="D92" s="30"/>
      <c r="E92" s="30"/>
      <c r="F92" s="30"/>
      <c r="G92" s="30"/>
      <c r="H92" s="30"/>
      <c r="I92" s="30"/>
      <c r="J92" s="30"/>
    </row>
    <row r="93" spans="3:10">
      <c r="C93" s="30"/>
      <c r="D93" s="30"/>
      <c r="E93" s="30"/>
      <c r="F93" s="30"/>
      <c r="G93" s="30"/>
      <c r="H93" s="30"/>
      <c r="I93" s="30"/>
      <c r="J93" s="30"/>
    </row>
    <row r="94" spans="3:10">
      <c r="C94" s="30"/>
      <c r="D94" s="30"/>
      <c r="E94" s="30"/>
      <c r="F94" s="30"/>
      <c r="G94" s="30"/>
      <c r="H94" s="30"/>
      <c r="I94" s="30"/>
      <c r="J94" s="30"/>
    </row>
    <row r="95" spans="3:10">
      <c r="C95" s="30"/>
      <c r="D95" s="30"/>
      <c r="E95" s="30"/>
      <c r="F95" s="30"/>
      <c r="G95" s="30"/>
      <c r="H95" s="30"/>
      <c r="I95" s="30"/>
      <c r="J95" s="30"/>
    </row>
    <row r="96" spans="3:10">
      <c r="C96" s="30"/>
      <c r="D96" s="30"/>
      <c r="E96" s="30"/>
      <c r="F96" s="30"/>
      <c r="G96" s="30"/>
      <c r="H96" s="30"/>
      <c r="I96" s="30"/>
      <c r="J96" s="30"/>
    </row>
    <row r="97" spans="3:10">
      <c r="C97" s="30"/>
      <c r="D97" s="30"/>
      <c r="E97" s="30"/>
      <c r="F97" s="30"/>
      <c r="G97" s="30"/>
      <c r="H97" s="30"/>
      <c r="I97" s="30"/>
      <c r="J97" s="30"/>
    </row>
    <row r="98" spans="3:10">
      <c r="C98" s="30"/>
      <c r="D98" s="30"/>
      <c r="E98" s="30"/>
      <c r="F98" s="30"/>
      <c r="G98" s="30"/>
      <c r="H98" s="30"/>
      <c r="I98" s="30"/>
      <c r="J98" s="30"/>
    </row>
    <row r="99" spans="3:10">
      <c r="C99" s="30"/>
      <c r="D99" s="30"/>
      <c r="E99" s="30"/>
      <c r="F99" s="30"/>
      <c r="G99" s="30"/>
      <c r="H99" s="30"/>
      <c r="I99" s="30"/>
      <c r="J99" s="30"/>
    </row>
    <row r="100" spans="3:10">
      <c r="C100" s="30"/>
      <c r="D100" s="30"/>
      <c r="E100" s="30"/>
      <c r="F100" s="30"/>
      <c r="G100" s="30"/>
      <c r="H100" s="30"/>
      <c r="I100" s="30"/>
      <c r="J100" s="30"/>
    </row>
    <row r="101" spans="3:10">
      <c r="C101" s="30"/>
      <c r="D101" s="30"/>
      <c r="E101" s="30"/>
      <c r="F101" s="30"/>
      <c r="G101" s="30"/>
      <c r="H101" s="30"/>
      <c r="I101" s="30"/>
      <c r="J101" s="30"/>
    </row>
    <row r="102" spans="3:10">
      <c r="C102" s="30"/>
      <c r="D102" s="30"/>
      <c r="E102" s="30"/>
      <c r="F102" s="30"/>
      <c r="G102" s="30"/>
      <c r="H102" s="30"/>
      <c r="I102" s="30"/>
      <c r="J102" s="30"/>
    </row>
    <row r="103" spans="3:10">
      <c r="C103" s="30"/>
      <c r="D103" s="30"/>
      <c r="E103" s="30"/>
      <c r="F103" s="30"/>
      <c r="G103" s="30"/>
      <c r="H103" s="30"/>
      <c r="I103" s="30"/>
      <c r="J103" s="30"/>
    </row>
    <row r="104" spans="3:10">
      <c r="C104" s="30"/>
      <c r="D104" s="30"/>
      <c r="E104" s="30"/>
      <c r="F104" s="30"/>
      <c r="G104" s="30"/>
      <c r="H104" s="30"/>
      <c r="I104" s="30"/>
      <c r="J104" s="30"/>
    </row>
    <row r="105" spans="3:10">
      <c r="C105" s="30"/>
      <c r="D105" s="30"/>
      <c r="E105" s="30"/>
      <c r="F105" s="30"/>
      <c r="G105" s="30"/>
      <c r="H105" s="30"/>
      <c r="I105" s="30"/>
      <c r="J105" s="30"/>
    </row>
    <row r="106" spans="3:10">
      <c r="C106" s="30"/>
      <c r="D106" s="30"/>
      <c r="E106" s="30"/>
      <c r="F106" s="30"/>
      <c r="G106" s="30"/>
      <c r="H106" s="30"/>
      <c r="I106" s="30"/>
      <c r="J106" s="30"/>
    </row>
    <row r="107" spans="3:10">
      <c r="C107" s="30"/>
      <c r="D107" s="30"/>
      <c r="E107" s="30"/>
      <c r="F107" s="30"/>
      <c r="G107" s="30"/>
      <c r="H107" s="30"/>
      <c r="I107" s="30"/>
      <c r="J107" s="30"/>
    </row>
    <row r="108" spans="3:10">
      <c r="C108" s="30"/>
      <c r="D108" s="30"/>
      <c r="E108" s="30"/>
      <c r="F108" s="30"/>
      <c r="G108" s="30"/>
      <c r="H108" s="30"/>
      <c r="I108" s="30"/>
      <c r="J108" s="30"/>
    </row>
    <row r="109" spans="3:10">
      <c r="C109" s="30"/>
      <c r="D109" s="30"/>
      <c r="E109" s="30"/>
      <c r="F109" s="30"/>
      <c r="G109" s="30"/>
      <c r="H109" s="30"/>
      <c r="I109" s="30"/>
      <c r="J109" s="30"/>
    </row>
    <row r="110" spans="3:10">
      <c r="C110" s="30"/>
      <c r="D110" s="30"/>
      <c r="E110" s="30"/>
      <c r="F110" s="30"/>
      <c r="G110" s="30"/>
      <c r="H110" s="30"/>
      <c r="I110" s="30"/>
      <c r="J110" s="30"/>
    </row>
    <row r="111" spans="3:10">
      <c r="C111" s="30"/>
      <c r="D111" s="30"/>
      <c r="E111" s="30"/>
      <c r="F111" s="30"/>
      <c r="G111" s="30"/>
      <c r="H111" s="30"/>
      <c r="I111" s="30"/>
      <c r="J111" s="30"/>
    </row>
    <row r="112" spans="3:10">
      <c r="C112" s="30"/>
      <c r="D112" s="30"/>
      <c r="E112" s="30"/>
      <c r="F112" s="30"/>
      <c r="G112" s="30"/>
      <c r="H112" s="30"/>
      <c r="I112" s="30"/>
      <c r="J112" s="30"/>
    </row>
    <row r="113" spans="3:10">
      <c r="C113" s="30"/>
      <c r="D113" s="30"/>
      <c r="E113" s="30"/>
      <c r="F113" s="30"/>
      <c r="G113" s="30"/>
      <c r="H113" s="30"/>
      <c r="I113" s="30"/>
      <c r="J113" s="30"/>
    </row>
    <row r="114" spans="3:10">
      <c r="C114" s="30"/>
      <c r="D114" s="30"/>
      <c r="E114" s="30"/>
      <c r="F114" s="30"/>
      <c r="G114" s="30"/>
      <c r="H114" s="30"/>
      <c r="I114" s="30"/>
      <c r="J114" s="30"/>
    </row>
    <row r="115" spans="3:10">
      <c r="C115" s="30"/>
      <c r="D115" s="30"/>
      <c r="E115" s="30"/>
      <c r="F115" s="30"/>
      <c r="G115" s="30"/>
      <c r="H115" s="30"/>
      <c r="I115" s="30"/>
      <c r="J115" s="30"/>
    </row>
    <row r="116" spans="3:10">
      <c r="C116" s="30"/>
      <c r="D116" s="30"/>
      <c r="E116" s="30"/>
      <c r="F116" s="30"/>
      <c r="G116" s="30"/>
      <c r="H116" s="30"/>
      <c r="I116" s="30"/>
      <c r="J116" s="30"/>
    </row>
    <row r="117" spans="3:10">
      <c r="C117" s="30"/>
      <c r="D117" s="30"/>
      <c r="E117" s="30"/>
      <c r="F117" s="30"/>
      <c r="G117" s="30"/>
      <c r="H117" s="30"/>
      <c r="I117" s="30"/>
      <c r="J117" s="30"/>
    </row>
    <row r="118" spans="3:10">
      <c r="C118" s="30"/>
      <c r="D118" s="30"/>
      <c r="E118" s="30"/>
      <c r="F118" s="30"/>
      <c r="G118" s="30"/>
      <c r="H118" s="30"/>
      <c r="I118" s="30"/>
      <c r="J118" s="30"/>
    </row>
    <row r="119" spans="3:10">
      <c r="C119" s="30"/>
      <c r="D119" s="30"/>
      <c r="E119" s="30"/>
      <c r="F119" s="30"/>
      <c r="G119" s="30"/>
      <c r="H119" s="30"/>
      <c r="I119" s="30"/>
      <c r="J119" s="30"/>
    </row>
    <row r="120" spans="3:10">
      <c r="C120" s="30"/>
      <c r="D120" s="30"/>
      <c r="E120" s="30"/>
      <c r="F120" s="30"/>
      <c r="G120" s="30"/>
      <c r="H120" s="30"/>
      <c r="I120" s="30"/>
      <c r="J120" s="30"/>
    </row>
    <row r="121" spans="3:10">
      <c r="C121" s="30"/>
      <c r="D121" s="30"/>
      <c r="E121" s="30"/>
      <c r="F121" s="30"/>
      <c r="G121" s="30"/>
      <c r="H121" s="30"/>
      <c r="I121" s="30"/>
      <c r="J121" s="30"/>
    </row>
    <row r="122" spans="3:10">
      <c r="C122" s="30"/>
      <c r="D122" s="30"/>
      <c r="E122" s="30"/>
      <c r="F122" s="30"/>
      <c r="G122" s="30"/>
      <c r="H122" s="30"/>
      <c r="I122" s="30"/>
      <c r="J122" s="30"/>
    </row>
    <row r="123" spans="3:10">
      <c r="C123" s="30"/>
      <c r="D123" s="30"/>
      <c r="E123" s="30"/>
      <c r="F123" s="30"/>
      <c r="G123" s="30"/>
      <c r="H123" s="30"/>
      <c r="I123" s="30"/>
      <c r="J123" s="30"/>
    </row>
    <row r="124" spans="3:10">
      <c r="C124" s="30"/>
      <c r="D124" s="30"/>
      <c r="E124" s="30"/>
      <c r="F124" s="30"/>
      <c r="G124" s="30"/>
      <c r="H124" s="30"/>
      <c r="I124" s="30"/>
      <c r="J124" s="30"/>
    </row>
    <row r="125" spans="3:10">
      <c r="C125" s="30"/>
      <c r="D125" s="30"/>
      <c r="E125" s="30"/>
      <c r="F125" s="30"/>
      <c r="G125" s="30"/>
      <c r="H125" s="30"/>
      <c r="I125" s="30"/>
      <c r="J125" s="30"/>
    </row>
    <row r="126" spans="3:10">
      <c r="C126" s="30"/>
      <c r="D126" s="30"/>
      <c r="E126" s="30"/>
      <c r="F126" s="30"/>
      <c r="G126" s="30"/>
      <c r="H126" s="30"/>
      <c r="I126" s="30"/>
      <c r="J126" s="30"/>
    </row>
    <row r="127" spans="3:10">
      <c r="C127" s="30"/>
      <c r="D127" s="30"/>
      <c r="E127" s="30"/>
      <c r="F127" s="30"/>
      <c r="G127" s="30"/>
      <c r="H127" s="30"/>
      <c r="I127" s="30"/>
      <c r="J127" s="30"/>
    </row>
    <row r="128" spans="3:10">
      <c r="C128" s="30"/>
      <c r="D128" s="30"/>
      <c r="E128" s="30"/>
      <c r="F128" s="30"/>
      <c r="G128" s="30"/>
      <c r="H128" s="30"/>
      <c r="I128" s="30"/>
      <c r="J128" s="30"/>
    </row>
    <row r="129" spans="3:10">
      <c r="C129" s="30"/>
      <c r="D129" s="30"/>
      <c r="E129" s="30"/>
      <c r="F129" s="30"/>
      <c r="G129" s="30"/>
      <c r="H129" s="30"/>
      <c r="I129" s="30"/>
      <c r="J129" s="30"/>
    </row>
    <row r="130" spans="3:10">
      <c r="C130" s="30"/>
      <c r="D130" s="30"/>
      <c r="E130" s="30"/>
      <c r="F130" s="30"/>
      <c r="G130" s="30"/>
      <c r="H130" s="30"/>
      <c r="I130" s="30"/>
      <c r="J130" s="30"/>
    </row>
    <row r="131" spans="3:10">
      <c r="C131" s="30"/>
      <c r="D131" s="30"/>
      <c r="E131" s="30"/>
      <c r="F131" s="30"/>
      <c r="G131" s="30"/>
      <c r="H131" s="30"/>
      <c r="I131" s="30"/>
      <c r="J131" s="30"/>
    </row>
    <row r="132" spans="3:10">
      <c r="C132" s="30"/>
      <c r="D132" s="30"/>
      <c r="E132" s="30"/>
      <c r="F132" s="30"/>
      <c r="G132" s="30"/>
      <c r="H132" s="30"/>
      <c r="I132" s="30"/>
      <c r="J132" s="30"/>
    </row>
    <row r="133" spans="3:10">
      <c r="C133" s="30"/>
      <c r="D133" s="30"/>
      <c r="E133" s="30"/>
      <c r="F133" s="30"/>
      <c r="G133" s="30"/>
      <c r="H133" s="30"/>
      <c r="I133" s="30"/>
      <c r="J133" s="30"/>
    </row>
    <row r="134" spans="3:10">
      <c r="C134" s="30"/>
      <c r="D134" s="30"/>
      <c r="E134" s="30"/>
      <c r="F134" s="30"/>
      <c r="G134" s="30"/>
      <c r="H134" s="30"/>
      <c r="I134" s="30"/>
      <c r="J134" s="30"/>
    </row>
    <row r="135" spans="3:10"/>
    <row r="136" spans="3:10"/>
    <row r="137" spans="3:10"/>
    <row r="138" spans="3:10"/>
    <row r="139" spans="3:10"/>
    <row r="140" spans="3:10"/>
    <row r="141" spans="3:10"/>
    <row r="142" spans="3:10"/>
    <row r="143" spans="3:10"/>
    <row r="144" spans="3:10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showGridLines="0" zoomScale="110" zoomScaleNormal="110" workbookViewId="0">
      <pane ySplit="4" topLeftCell="A8" activePane="bottomLeft" state="frozen"/>
      <selection activeCell="E17" sqref="E17"/>
      <selection pane="bottomLeft" activeCell="M9" sqref="M9"/>
    </sheetView>
  </sheetViews>
  <sheetFormatPr defaultColWidth="8.6640625" defaultRowHeight="0" customHeight="1" zeroHeight="1"/>
  <cols>
    <col min="1" max="1" width="3.5546875" style="1" customWidth="1"/>
    <col min="2" max="2" width="53.5546875" style="1" bestFit="1" customWidth="1"/>
    <col min="3" max="4" width="9.5546875" style="1" bestFit="1" customWidth="1"/>
    <col min="5" max="5" width="13.88671875" style="1" customWidth="1"/>
    <col min="6" max="10" width="12.5546875" style="1" customWidth="1"/>
    <col min="11" max="16384" width="8.6640625" style="1"/>
  </cols>
  <sheetData>
    <row r="1" spans="1:10" ht="36.75" customHeight="1">
      <c r="A1" s="39" t="s">
        <v>89</v>
      </c>
      <c r="B1" s="6"/>
      <c r="C1" s="142" t="s">
        <v>0</v>
      </c>
      <c r="D1" s="142"/>
      <c r="E1" s="142"/>
      <c r="F1" s="142" t="s">
        <v>1</v>
      </c>
      <c r="G1" s="142"/>
      <c r="H1" s="142"/>
      <c r="I1" s="142"/>
      <c r="J1" s="142"/>
    </row>
    <row r="2" spans="1:10" ht="14.4">
      <c r="A2" s="3" t="s">
        <v>4</v>
      </c>
      <c r="B2" s="7"/>
      <c r="C2" s="38" t="s">
        <v>73</v>
      </c>
      <c r="D2" s="38" t="s">
        <v>74</v>
      </c>
      <c r="E2" s="38" t="s">
        <v>75</v>
      </c>
      <c r="F2" s="2" t="s">
        <v>23</v>
      </c>
      <c r="G2" s="2" t="s">
        <v>24</v>
      </c>
      <c r="H2" s="2" t="s">
        <v>30</v>
      </c>
      <c r="I2" s="2" t="s">
        <v>31</v>
      </c>
      <c r="J2" s="2" t="s">
        <v>32</v>
      </c>
    </row>
    <row r="3" spans="1:10" ht="14.4">
      <c r="A3" s="4"/>
      <c r="B3" s="21"/>
      <c r="C3" s="21"/>
      <c r="D3" s="21"/>
      <c r="E3" s="20"/>
      <c r="F3" s="20"/>
      <c r="G3" s="20"/>
      <c r="H3" s="20"/>
      <c r="I3" s="20"/>
      <c r="J3" s="20"/>
    </row>
    <row r="4" spans="1:10" ht="14.4">
      <c r="A4" s="4"/>
      <c r="B4" s="21"/>
      <c r="C4" s="21"/>
      <c r="D4" s="21"/>
      <c r="E4" s="20"/>
      <c r="F4" s="20"/>
      <c r="G4" s="20"/>
      <c r="H4" s="20"/>
      <c r="I4" s="20"/>
      <c r="J4" s="20"/>
    </row>
    <row r="5" spans="1:10" ht="14.4">
      <c r="A5" s="4"/>
      <c r="B5" s="21"/>
      <c r="C5" s="21"/>
      <c r="D5" s="21"/>
      <c r="E5" s="20"/>
      <c r="F5" s="20"/>
      <c r="G5" s="20"/>
      <c r="H5" s="20"/>
      <c r="I5" s="20"/>
      <c r="J5" s="20"/>
    </row>
    <row r="6" spans="1:10" ht="13.8">
      <c r="B6" s="22" t="s">
        <v>43</v>
      </c>
    </row>
    <row r="7" spans="1:10" ht="13.8">
      <c r="B7" s="1" t="s">
        <v>22</v>
      </c>
      <c r="C7" s="40"/>
      <c r="D7" s="40"/>
      <c r="E7" s="41"/>
      <c r="F7" s="11">
        <f>'Income Statement'!F30</f>
        <v>9297.2867000000006</v>
      </c>
      <c r="G7" s="11">
        <f>'Income Statement'!G30</f>
        <v>11396.32473233258</v>
      </c>
      <c r="H7" s="11">
        <f>'Income Statement'!H30</f>
        <v>13894.874438730907</v>
      </c>
      <c r="I7" s="11">
        <f>'Income Statement'!I30</f>
        <v>16875.330180188685</v>
      </c>
      <c r="J7" s="11">
        <f>'Income Statement'!J30</f>
        <v>20458.100296771547</v>
      </c>
    </row>
    <row r="8" spans="1:10" ht="13.8">
      <c r="B8" s="1" t="s">
        <v>44</v>
      </c>
      <c r="C8" s="40"/>
      <c r="D8" s="40"/>
      <c r="E8" s="41"/>
      <c r="F8" s="11">
        <f>'Dep Capex'!F12</f>
        <v>2069.73</v>
      </c>
      <c r="G8" s="11">
        <f>'Dep Capex'!G12</f>
        <v>2453.9094</v>
      </c>
      <c r="H8" s="11">
        <f>'Dep Capex'!H12</f>
        <v>2909.900772</v>
      </c>
      <c r="I8" s="11">
        <f>'Dep Capex'!I12</f>
        <v>3451.2156597599997</v>
      </c>
      <c r="J8" s="11">
        <f>'Dep Capex'!J12</f>
        <v>4093.9233151247995</v>
      </c>
    </row>
    <row r="9" spans="1:10" ht="13.8">
      <c r="B9" s="1" t="s">
        <v>45</v>
      </c>
      <c r="C9" s="40"/>
      <c r="D9" s="40"/>
      <c r="E9" s="41"/>
      <c r="F9" s="11">
        <f>'Income Statement'!F21</f>
        <v>0</v>
      </c>
      <c r="G9" s="11">
        <f>'Income Statement'!G21</f>
        <v>0</v>
      </c>
      <c r="H9" s="11">
        <f>'Income Statement'!H21</f>
        <v>0</v>
      </c>
      <c r="I9" s="11">
        <f>'Income Statement'!I21</f>
        <v>0</v>
      </c>
      <c r="J9" s="11">
        <f>'Income Statement'!J21</f>
        <v>0</v>
      </c>
    </row>
    <row r="10" spans="1:10" ht="13.8">
      <c r="B10" s="17" t="s">
        <v>46</v>
      </c>
      <c r="C10" s="40"/>
      <c r="D10" s="40"/>
      <c r="E10" s="41"/>
      <c r="F10" s="11"/>
      <c r="G10" s="11"/>
      <c r="H10" s="11"/>
      <c r="I10" s="11"/>
      <c r="J10" s="11"/>
    </row>
    <row r="11" spans="1:10" ht="13.8">
      <c r="B11" s="26" t="s">
        <v>47</v>
      </c>
      <c r="C11" s="40"/>
      <c r="D11" s="40"/>
      <c r="E11" s="41"/>
      <c r="F11" s="11">
        <f>'Working Capital'!E7-'Working Capital'!F7</f>
        <v>-434.20821917808235</v>
      </c>
      <c r="G11" s="11">
        <f>'Working Capital'!F7-'Working Capital'!G7</f>
        <v>-444.40843835616488</v>
      </c>
      <c r="H11" s="11">
        <f>'Working Capital'!G7-'Working Capital'!H7</f>
        <v>-527.47860383561601</v>
      </c>
      <c r="I11" s="11">
        <f>'Working Capital'!H7-'Working Capital'!I7</f>
        <v>-626.17856118356121</v>
      </c>
      <c r="J11" s="11">
        <f>'Working Capital'!I7-'Working Capital'!J7</f>
        <v>-743.46699859550745</v>
      </c>
    </row>
    <row r="12" spans="1:10" ht="13.8">
      <c r="B12" s="26" t="s">
        <v>100</v>
      </c>
      <c r="C12" s="40"/>
      <c r="D12" s="40"/>
      <c r="E12" s="41"/>
      <c r="F12" s="11">
        <f>'Working Capital'!E8-'Working Capital'!F8</f>
        <v>-354.71342465753423</v>
      </c>
      <c r="G12" s="11">
        <f>'Working Capital'!F8-'Working Capital'!G8</f>
        <v>-808.62649863013667</v>
      </c>
      <c r="H12" s="11">
        <f>'Working Capital'!G8-'Working Capital'!H8</f>
        <v>-959.84677523287701</v>
      </c>
      <c r="I12" s="11">
        <f>'Working Capital'!H8-'Working Capital'!I8</f>
        <v>-1139.5341054597257</v>
      </c>
      <c r="J12" s="11">
        <f>'Working Capital'!I8-'Working Capital'!J8</f>
        <v>-1353.0802641246682</v>
      </c>
    </row>
    <row r="13" spans="1:10" ht="13.8">
      <c r="B13" s="26" t="s">
        <v>48</v>
      </c>
      <c r="C13" s="40"/>
      <c r="D13" s="40"/>
      <c r="E13" s="41"/>
      <c r="F13" s="11">
        <f>'Working Capital'!F9-'Working Capital'!E9</f>
        <v>226.08920547945218</v>
      </c>
      <c r="G13" s="11">
        <f>'Working Capital'!G9-'Working Capital'!F9</f>
        <v>554.4867419178081</v>
      </c>
      <c r="H13" s="11">
        <f>'Working Capital'!H9-'Working Capital'!G9</f>
        <v>658.18064587397203</v>
      </c>
      <c r="I13" s="11">
        <f>'Working Capital'!I9-'Working Capital'!H9</f>
        <v>781.39481517238346</v>
      </c>
      <c r="J13" s="11">
        <f>'Working Capital'!J9-'Working Capital'!I9</f>
        <v>927.82646682834365</v>
      </c>
    </row>
    <row r="14" spans="1:10" ht="13.8">
      <c r="B14" s="18" t="s">
        <v>49</v>
      </c>
      <c r="C14" s="31"/>
      <c r="D14" s="31"/>
      <c r="E14" s="32"/>
      <c r="F14" s="32">
        <f>SUM(F7:F13)</f>
        <v>10804.184261643837</v>
      </c>
      <c r="G14" s="32">
        <f t="shared" ref="G14:J14" si="0">SUM(G7:G13)</f>
        <v>13151.685937264087</v>
      </c>
      <c r="H14" s="32">
        <f t="shared" si="0"/>
        <v>15975.630477536384</v>
      </c>
      <c r="I14" s="32">
        <f t="shared" si="0"/>
        <v>19342.227988477782</v>
      </c>
      <c r="J14" s="32">
        <f t="shared" si="0"/>
        <v>23383.302816004514</v>
      </c>
    </row>
    <row r="15" spans="1:10" ht="13.8">
      <c r="E15" s="19"/>
      <c r="F15" s="19"/>
      <c r="G15" s="19"/>
      <c r="H15" s="19"/>
      <c r="I15" s="19"/>
      <c r="J15" s="19"/>
    </row>
    <row r="16" spans="1:10" ht="13.8">
      <c r="B16" s="22" t="s">
        <v>50</v>
      </c>
      <c r="E16" s="19"/>
      <c r="F16" s="19"/>
      <c r="G16" s="19"/>
      <c r="H16" s="19"/>
      <c r="I16" s="19"/>
      <c r="J16" s="19"/>
    </row>
    <row r="17" spans="2:10" ht="13.8">
      <c r="B17" s="1" t="s">
        <v>51</v>
      </c>
      <c r="C17" s="40"/>
      <c r="D17" s="40"/>
      <c r="E17" s="41"/>
      <c r="F17" s="11">
        <f>-'Dep Capex'!F11</f>
        <v>-10000</v>
      </c>
      <c r="G17" s="11">
        <f>-'Dep Capex'!G11</f>
        <v>-11500</v>
      </c>
      <c r="H17" s="11">
        <f>-'Dep Capex'!H11</f>
        <v>-13000</v>
      </c>
      <c r="I17" s="11">
        <f>-'Dep Capex'!I11</f>
        <v>-13500</v>
      </c>
      <c r="J17" s="11">
        <f>-'Dep Capex'!J11</f>
        <v>-15000</v>
      </c>
    </row>
    <row r="18" spans="2:10" ht="13.8">
      <c r="B18" s="1" t="s">
        <v>36</v>
      </c>
      <c r="C18" s="40"/>
      <c r="D18" s="40"/>
      <c r="E18" s="41"/>
      <c r="F18" s="11">
        <f>'Balance Sheet'!F17-'Balance Sheet'!E17</f>
        <v>0</v>
      </c>
      <c r="G18" s="11">
        <f>'Balance Sheet'!G17-'Balance Sheet'!F17</f>
        <v>0</v>
      </c>
      <c r="H18" s="11">
        <f>'Balance Sheet'!H17-'Balance Sheet'!G17</f>
        <v>0</v>
      </c>
      <c r="I18" s="11">
        <f>'Balance Sheet'!I17-'Balance Sheet'!H17</f>
        <v>0</v>
      </c>
      <c r="J18" s="11">
        <f>'Balance Sheet'!J17-'Balance Sheet'!I17</f>
        <v>0</v>
      </c>
    </row>
    <row r="19" spans="2:10" ht="13.8">
      <c r="B19" s="18" t="s">
        <v>52</v>
      </c>
      <c r="C19" s="18"/>
      <c r="D19" s="18"/>
      <c r="E19" s="32"/>
      <c r="F19" s="32">
        <f>SUM(F17:F18)</f>
        <v>-10000</v>
      </c>
      <c r="G19" s="32">
        <f t="shared" ref="G19:J19" si="1">SUM(G17:G18)</f>
        <v>-11500</v>
      </c>
      <c r="H19" s="32">
        <f t="shared" si="1"/>
        <v>-13000</v>
      </c>
      <c r="I19" s="32">
        <f t="shared" si="1"/>
        <v>-13500</v>
      </c>
      <c r="J19" s="32">
        <f t="shared" si="1"/>
        <v>-15000</v>
      </c>
    </row>
    <row r="20" spans="2:10" ht="13.8">
      <c r="E20" s="19"/>
      <c r="F20" s="19"/>
      <c r="G20" s="19"/>
      <c r="H20" s="19"/>
      <c r="I20" s="19"/>
      <c r="J20" s="19"/>
    </row>
    <row r="21" spans="2:10" ht="13.8">
      <c r="B21" s="22" t="s">
        <v>53</v>
      </c>
      <c r="E21" s="19"/>
      <c r="F21" s="19"/>
      <c r="G21" s="19"/>
      <c r="H21" s="19"/>
      <c r="I21" s="19"/>
      <c r="J21" s="19"/>
    </row>
    <row r="22" spans="2:10" ht="13.8">
      <c r="B22" s="1" t="s">
        <v>66</v>
      </c>
      <c r="C22" s="40"/>
      <c r="D22" s="40"/>
      <c r="E22" s="41"/>
      <c r="F22" s="11">
        <f>Debt!F8+Debt!F9</f>
        <v>-1000</v>
      </c>
      <c r="G22" s="11">
        <f>Debt!G8+Debt!G9</f>
        <v>-1000</v>
      </c>
      <c r="H22" s="11">
        <f>Debt!H8+Debt!H9</f>
        <v>-1000</v>
      </c>
      <c r="I22" s="11">
        <f>Debt!I8+Debt!I9</f>
        <v>-1000</v>
      </c>
      <c r="J22" s="11">
        <f>Debt!J8+Debt!J9</f>
        <v>-1000</v>
      </c>
    </row>
    <row r="23" spans="2:10" ht="13.8">
      <c r="B23" s="18" t="s">
        <v>54</v>
      </c>
      <c r="C23" s="31"/>
      <c r="D23" s="31"/>
      <c r="E23" s="32"/>
      <c r="F23" s="32">
        <f>F22</f>
        <v>-1000</v>
      </c>
      <c r="G23" s="32">
        <f t="shared" ref="G23:J23" si="2">G22</f>
        <v>-1000</v>
      </c>
      <c r="H23" s="32">
        <f t="shared" si="2"/>
        <v>-1000</v>
      </c>
      <c r="I23" s="32">
        <f t="shared" si="2"/>
        <v>-1000</v>
      </c>
      <c r="J23" s="32">
        <f t="shared" si="2"/>
        <v>-1000</v>
      </c>
    </row>
    <row r="24" spans="2:10" ht="13.8">
      <c r="E24" s="19"/>
      <c r="F24" s="19"/>
      <c r="G24" s="19"/>
      <c r="H24" s="19"/>
      <c r="I24" s="19"/>
      <c r="J24" s="19"/>
    </row>
    <row r="25" spans="2:10" ht="13.8">
      <c r="B25" s="33" t="s">
        <v>55</v>
      </c>
      <c r="C25" s="42"/>
      <c r="D25" s="42"/>
      <c r="E25" s="43"/>
      <c r="F25" s="13">
        <f>SUM(F14,F19,F23)</f>
        <v>-195.81573835616291</v>
      </c>
      <c r="G25" s="13">
        <f t="shared" ref="G25:J25" si="3">SUM(G14,G19,G23)</f>
        <v>651.68593726408653</v>
      </c>
      <c r="H25" s="13">
        <f t="shared" si="3"/>
        <v>1975.6304775363842</v>
      </c>
      <c r="I25" s="13">
        <f t="shared" si="3"/>
        <v>4842.2279884777818</v>
      </c>
      <c r="J25" s="13">
        <f t="shared" si="3"/>
        <v>7383.3028160045142</v>
      </c>
    </row>
    <row r="26" spans="2:10" ht="13.8">
      <c r="B26" s="1" t="s">
        <v>56</v>
      </c>
      <c r="C26" s="40"/>
      <c r="D26" s="40"/>
      <c r="E26" s="41"/>
      <c r="F26" s="11">
        <f>E27</f>
        <v>1400</v>
      </c>
      <c r="G26" s="11">
        <f>F27</f>
        <v>1204.1842616438371</v>
      </c>
      <c r="H26" s="11">
        <f t="shared" ref="H26:J26" si="4">G27</f>
        <v>1855.8701989079236</v>
      </c>
      <c r="I26" s="11">
        <f t="shared" si="4"/>
        <v>3831.5006764443078</v>
      </c>
      <c r="J26" s="11">
        <f t="shared" si="4"/>
        <v>8673.7286649220896</v>
      </c>
    </row>
    <row r="27" spans="2:10" ht="14.4" thickBot="1">
      <c r="B27" s="48" t="s">
        <v>57</v>
      </c>
      <c r="C27" s="48"/>
      <c r="D27" s="48"/>
      <c r="E27" s="49">
        <f>'Balance Sheet'!E7</f>
        <v>1400</v>
      </c>
      <c r="F27" s="86">
        <f>SUM(F25:F26)</f>
        <v>1204.1842616438371</v>
      </c>
      <c r="G27" s="86">
        <f>SUM(G25:G26)</f>
        <v>1855.8701989079236</v>
      </c>
      <c r="H27" s="86">
        <f t="shared" ref="H27" si="5">SUM(H25:H26)</f>
        <v>3831.5006764443078</v>
      </c>
      <c r="I27" s="86">
        <f t="shared" ref="I27" si="6">SUM(I25:I26)</f>
        <v>8673.7286649220896</v>
      </c>
      <c r="J27" s="86">
        <f t="shared" ref="J27" si="7">SUM(J25:J26)</f>
        <v>16057.031480926604</v>
      </c>
    </row>
    <row r="28" spans="2:10" ht="14.4" thickTop="1">
      <c r="E28" s="19"/>
      <c r="F28" s="19"/>
      <c r="G28" s="19"/>
      <c r="H28" s="19"/>
      <c r="I28" s="19"/>
      <c r="J28" s="19"/>
    </row>
    <row r="29" spans="2:10" ht="13.8">
      <c r="E29" s="11"/>
      <c r="F29" s="11"/>
      <c r="G29" s="11"/>
      <c r="H29" s="11"/>
      <c r="I29" s="11"/>
      <c r="J29" s="11"/>
    </row>
    <row r="30" spans="2:10" ht="13.8">
      <c r="E30" s="19"/>
      <c r="F30" s="19"/>
      <c r="G30" s="19"/>
      <c r="H30" s="19"/>
      <c r="I30" s="19"/>
      <c r="J30" s="19"/>
    </row>
    <row r="31" spans="2:10" ht="13.8">
      <c r="B31" s="17"/>
      <c r="C31" s="17"/>
      <c r="D31" s="17"/>
      <c r="E31" s="55"/>
      <c r="F31" s="55"/>
      <c r="G31" s="55"/>
      <c r="H31" s="55"/>
      <c r="I31" s="55"/>
      <c r="J31" s="55"/>
    </row>
    <row r="32" spans="2:10" ht="13.8">
      <c r="E32" s="19"/>
      <c r="F32" s="19"/>
      <c r="G32" s="19"/>
      <c r="H32" s="19"/>
      <c r="I32" s="19"/>
      <c r="J32" s="19"/>
    </row>
    <row r="33" spans="5:10" ht="13.8">
      <c r="E33" s="19"/>
      <c r="F33" s="19"/>
      <c r="G33" s="19"/>
      <c r="H33" s="19"/>
      <c r="I33" s="19"/>
      <c r="J33" s="19"/>
    </row>
    <row r="34" spans="5:10" ht="13.8">
      <c r="E34" s="19"/>
      <c r="F34" s="19"/>
      <c r="G34" s="19"/>
      <c r="H34" s="19"/>
      <c r="I34" s="19"/>
      <c r="J34" s="19"/>
    </row>
    <row r="35" spans="5:10" ht="13.8"/>
    <row r="36" spans="5:10" ht="13.8"/>
    <row r="37" spans="5:10" ht="13.8"/>
    <row r="38" spans="5:10" ht="13.8"/>
    <row r="39" spans="5:10" ht="13.8"/>
    <row r="40" spans="5:10" ht="13.8"/>
    <row r="41" spans="5:10" ht="13.8"/>
    <row r="42" spans="5:10" ht="13.8"/>
    <row r="43" spans="5:10" ht="13.8"/>
    <row r="44" spans="5:10" ht="13.8"/>
    <row r="45" spans="5:10" ht="13.8"/>
    <row r="46" spans="5:10" ht="13.8"/>
    <row r="47" spans="5:10" ht="13.8"/>
    <row r="48" spans="5:10" ht="13.8"/>
    <row r="49" ht="13.8"/>
    <row r="50" ht="13.8"/>
    <row r="51" ht="13.8"/>
    <row r="52" ht="13.8"/>
    <row r="53" ht="13.8"/>
    <row r="54" ht="13.8"/>
    <row r="55" ht="13.8"/>
    <row r="56" ht="13.8"/>
    <row r="57" ht="13.8"/>
    <row r="58" ht="13.8"/>
    <row r="59" ht="13.8"/>
    <row r="60" ht="13.8"/>
    <row r="61" ht="13.8"/>
    <row r="62" ht="13.8"/>
    <row r="63" ht="13.8"/>
    <row r="64" ht="13.8"/>
    <row r="65" ht="13.8"/>
    <row r="66" ht="13.8"/>
    <row r="67" ht="13.8"/>
    <row r="68" ht="13.8"/>
    <row r="69" ht="13.8"/>
    <row r="70" ht="13.8"/>
    <row r="71" ht="13.8"/>
    <row r="72" ht="13.8"/>
    <row r="73" ht="13.8"/>
    <row r="74" ht="13.8"/>
    <row r="75" ht="13.8"/>
    <row r="76" ht="13.8"/>
    <row r="77" ht="13.8"/>
    <row r="78" ht="13.8"/>
    <row r="79" ht="13.8"/>
    <row r="80" ht="13.8"/>
    <row r="81" ht="13.8"/>
    <row r="82" ht="13.8"/>
    <row r="83" ht="13.8"/>
    <row r="84" ht="13.8"/>
    <row r="85" ht="13.8"/>
    <row r="86" ht="13.8"/>
    <row r="87" ht="13.8"/>
    <row r="88" ht="13.8"/>
    <row r="89" ht="13.8"/>
    <row r="90" ht="13.8"/>
    <row r="91" ht="13.8"/>
    <row r="92" ht="13.8"/>
    <row r="93" ht="13.8"/>
    <row r="94" ht="13.8"/>
    <row r="95" ht="13.8"/>
    <row r="96" ht="13.8"/>
    <row r="97" ht="13.8"/>
    <row r="98" ht="13.8"/>
    <row r="99" ht="13.8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14"/>
  <sheetViews>
    <sheetView showGridLines="0" zoomScale="110" zoomScaleNormal="110" workbookViewId="0">
      <pane ySplit="4" topLeftCell="A5" activePane="bottomLeft" state="frozen"/>
      <selection activeCell="E17" sqref="E17"/>
      <selection pane="bottomLeft" activeCell="D54" sqref="D54"/>
    </sheetView>
  </sheetViews>
  <sheetFormatPr defaultColWidth="8.6640625" defaultRowHeight="13.8"/>
  <cols>
    <col min="1" max="1" width="3.5546875" style="1" customWidth="1"/>
    <col min="2" max="2" width="53.5546875" style="1" bestFit="1" customWidth="1"/>
    <col min="3" max="3" width="9.6640625" style="1" customWidth="1"/>
    <col min="4" max="4" width="14" style="1" customWidth="1"/>
    <col min="5" max="9" width="12.5546875" style="1" customWidth="1"/>
    <col min="10" max="10" width="10.5546875" style="1" bestFit="1" customWidth="1"/>
    <col min="11" max="16384" width="8.6640625" style="1"/>
  </cols>
  <sheetData>
    <row r="1" spans="1:10" ht="36.75" customHeight="1">
      <c r="A1" s="39" t="s">
        <v>90</v>
      </c>
      <c r="B1" s="6"/>
      <c r="C1" s="142" t="s">
        <v>0</v>
      </c>
      <c r="D1" s="142"/>
      <c r="E1" s="142"/>
      <c r="F1" s="142" t="s">
        <v>1</v>
      </c>
      <c r="G1" s="142"/>
      <c r="H1" s="142"/>
      <c r="I1" s="142"/>
      <c r="J1" s="142"/>
    </row>
    <row r="2" spans="1:10" ht="14.4">
      <c r="A2" s="3" t="s">
        <v>4</v>
      </c>
      <c r="B2" s="7"/>
      <c r="C2" s="38" t="s">
        <v>73</v>
      </c>
      <c r="D2" s="38" t="s">
        <v>74</v>
      </c>
      <c r="E2" s="38" t="s">
        <v>75</v>
      </c>
      <c r="F2" s="2" t="s">
        <v>23</v>
      </c>
      <c r="G2" s="2" t="s">
        <v>24</v>
      </c>
      <c r="H2" s="2" t="s">
        <v>30</v>
      </c>
      <c r="I2" s="2" t="s">
        <v>31</v>
      </c>
      <c r="J2" s="2" t="s">
        <v>32</v>
      </c>
    </row>
    <row r="3" spans="1:10" ht="14.4">
      <c r="A3" s="4"/>
      <c r="B3" s="21"/>
      <c r="C3" s="21"/>
      <c r="E3" s="20"/>
      <c r="F3" s="20"/>
      <c r="G3" s="20"/>
      <c r="H3" s="20"/>
      <c r="I3" s="20"/>
      <c r="J3" s="20"/>
    </row>
    <row r="4" spans="1:10" ht="14.4">
      <c r="A4" s="4"/>
      <c r="B4" s="21"/>
      <c r="C4" s="21"/>
      <c r="E4" s="20"/>
      <c r="F4" s="20"/>
      <c r="G4" s="20"/>
      <c r="H4" s="20"/>
      <c r="I4" s="20"/>
      <c r="J4" s="20"/>
    </row>
    <row r="5" spans="1:10" ht="14.4">
      <c r="A5" s="4"/>
      <c r="B5" s="1" t="s">
        <v>87</v>
      </c>
      <c r="C5" s="11">
        <f>'Income Statement'!C9</f>
        <v>25500</v>
      </c>
      <c r="D5" s="11">
        <f>'Income Statement'!D9</f>
        <v>31700</v>
      </c>
      <c r="E5" s="11">
        <f>'Income Statement'!E9</f>
        <v>38800</v>
      </c>
      <c r="F5" s="11">
        <f>'Income Statement'!F9</f>
        <v>45994</v>
      </c>
      <c r="G5" s="11">
        <f>'Income Statement'!G9</f>
        <v>54531.320000000007</v>
      </c>
      <c r="H5" s="11">
        <f>'Income Statement'!H9</f>
        <v>64664.461600000002</v>
      </c>
      <c r="I5" s="11">
        <f>'Income Statement'!I9</f>
        <v>76693.681327999991</v>
      </c>
      <c r="J5" s="11">
        <f>'Income Statement'!J9</f>
        <v>90976.073669439997</v>
      </c>
    </row>
    <row r="6" spans="1:10" ht="14.4">
      <c r="A6" s="4"/>
      <c r="C6" s="11"/>
      <c r="D6" s="11"/>
      <c r="E6" s="11"/>
      <c r="F6" s="11"/>
      <c r="G6" s="11"/>
      <c r="H6" s="11"/>
      <c r="I6" s="11"/>
      <c r="J6" s="11"/>
    </row>
    <row r="7" spans="1:10">
      <c r="B7" s="94" t="s">
        <v>26</v>
      </c>
      <c r="C7" s="11">
        <f>'Income Statement'!C20</f>
        <v>1200</v>
      </c>
      <c r="D7" s="11">
        <f>'Income Statement'!D20</f>
        <v>1400</v>
      </c>
      <c r="E7" s="11">
        <f>'Income Statement'!E20</f>
        <v>1700</v>
      </c>
      <c r="F7" s="13">
        <f>F5*F8</f>
        <v>2069.73</v>
      </c>
      <c r="G7" s="13">
        <f t="shared" ref="G7:J7" si="0">G5*G8</f>
        <v>2453.9094</v>
      </c>
      <c r="H7" s="13">
        <f t="shared" si="0"/>
        <v>2909.900772</v>
      </c>
      <c r="I7" s="13">
        <f t="shared" si="0"/>
        <v>3451.2156597599997</v>
      </c>
      <c r="J7" s="13">
        <f t="shared" si="0"/>
        <v>4093.9233151247995</v>
      </c>
    </row>
    <row r="8" spans="1:10">
      <c r="B8" s="26" t="s">
        <v>86</v>
      </c>
      <c r="C8" s="74">
        <f>C7/C5</f>
        <v>4.7058823529411764E-2</v>
      </c>
      <c r="D8" s="74">
        <f t="shared" ref="D8:E8" si="1">D7/D5</f>
        <v>4.4164037854889593E-2</v>
      </c>
      <c r="E8" s="74">
        <f t="shared" si="1"/>
        <v>4.3814432989690719E-2</v>
      </c>
      <c r="F8" s="54">
        <v>4.4999999999999998E-2</v>
      </c>
      <c r="G8" s="54">
        <v>4.4999999999999998E-2</v>
      </c>
      <c r="H8" s="54">
        <v>4.4999999999999998E-2</v>
      </c>
      <c r="I8" s="54">
        <v>4.4999999999999998E-2</v>
      </c>
      <c r="J8" s="54">
        <v>4.4999999999999998E-2</v>
      </c>
    </row>
    <row r="9" spans="1:10" ht="14.4">
      <c r="A9" s="4"/>
      <c r="B9" s="21"/>
      <c r="C9" s="21"/>
      <c r="E9" s="20"/>
      <c r="F9" s="20"/>
      <c r="G9" s="20"/>
      <c r="H9" s="20"/>
      <c r="I9" s="20"/>
      <c r="J9" s="20"/>
    </row>
    <row r="10" spans="1:10">
      <c r="B10" s="1" t="s">
        <v>99</v>
      </c>
      <c r="C10" s="22"/>
      <c r="E10" s="15"/>
      <c r="F10" s="19">
        <f>E13</f>
        <v>31400</v>
      </c>
      <c r="G10" s="19">
        <f t="shared" ref="G10:J10" si="2">F13</f>
        <v>39330.269999999997</v>
      </c>
      <c r="H10" s="19">
        <f t="shared" si="2"/>
        <v>48376.3606</v>
      </c>
      <c r="I10" s="19">
        <f t="shared" si="2"/>
        <v>58466.459827999999</v>
      </c>
      <c r="J10" s="19">
        <f t="shared" si="2"/>
        <v>68515.244168239995</v>
      </c>
    </row>
    <row r="11" spans="1:10">
      <c r="B11" s="1" t="s">
        <v>102</v>
      </c>
      <c r="C11" s="22"/>
      <c r="E11" s="11"/>
      <c r="F11" s="102">
        <v>10000</v>
      </c>
      <c r="G11" s="102">
        <v>11500</v>
      </c>
      <c r="H11" s="102">
        <v>13000</v>
      </c>
      <c r="I11" s="102">
        <v>13500</v>
      </c>
      <c r="J11" s="102">
        <v>15000</v>
      </c>
    </row>
    <row r="12" spans="1:10">
      <c r="B12" s="1" t="s">
        <v>26</v>
      </c>
      <c r="F12" s="105">
        <f>F7</f>
        <v>2069.73</v>
      </c>
      <c r="G12" s="105">
        <f t="shared" ref="G12:J12" si="3">G7</f>
        <v>2453.9094</v>
      </c>
      <c r="H12" s="105">
        <f t="shared" si="3"/>
        <v>2909.900772</v>
      </c>
      <c r="I12" s="105">
        <f t="shared" si="3"/>
        <v>3451.2156597599997</v>
      </c>
      <c r="J12" s="105">
        <f t="shared" si="3"/>
        <v>4093.9233151247995</v>
      </c>
    </row>
    <row r="13" spans="1:10" ht="14.4" thickBot="1">
      <c r="B13" s="95" t="s">
        <v>34</v>
      </c>
      <c r="C13" s="50"/>
      <c r="D13" s="48"/>
      <c r="E13" s="86">
        <f>'Balance Sheet'!E13</f>
        <v>31400</v>
      </c>
      <c r="F13" s="86">
        <f>F10+F11-F12</f>
        <v>39330.269999999997</v>
      </c>
      <c r="G13" s="86">
        <f>G10+G11-G12</f>
        <v>48376.3606</v>
      </c>
      <c r="H13" s="86">
        <f>H10+H11-H12</f>
        <v>58466.459827999999</v>
      </c>
      <c r="I13" s="86">
        <f t="shared" ref="I13:J13" si="4">I10+I11-I12</f>
        <v>68515.244168239995</v>
      </c>
      <c r="J13" s="86">
        <f t="shared" si="4"/>
        <v>79421.32085311519</v>
      </c>
    </row>
    <row r="14" spans="1:10" ht="14.4" thickTop="1">
      <c r="C14" s="22"/>
      <c r="E14" s="19"/>
      <c r="F14" s="19"/>
      <c r="G14" s="19"/>
      <c r="H14" s="19"/>
      <c r="I14" s="19"/>
      <c r="J14" s="19"/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3"/>
  <sheetViews>
    <sheetView showGridLines="0" zoomScale="110" zoomScaleNormal="110" workbookViewId="0">
      <pane ySplit="4" topLeftCell="A11" activePane="bottomLeft" state="frozen"/>
      <selection activeCell="E17" sqref="E17"/>
      <selection pane="bottomLeft" activeCell="B28" sqref="B28"/>
    </sheetView>
  </sheetViews>
  <sheetFormatPr defaultColWidth="8.6640625" defaultRowHeight="13.8"/>
  <cols>
    <col min="1" max="1" width="3.5546875" style="1" customWidth="1"/>
    <col min="2" max="2" width="53.5546875" style="1" bestFit="1" customWidth="1"/>
    <col min="3" max="3" width="12" style="1" customWidth="1"/>
    <col min="4" max="4" width="14" style="1" customWidth="1"/>
    <col min="5" max="9" width="12.5546875" style="1" customWidth="1"/>
    <col min="10" max="10" width="10.5546875" style="1" bestFit="1" customWidth="1"/>
    <col min="11" max="11" width="11.6640625" style="1" bestFit="1" customWidth="1"/>
    <col min="12" max="16384" width="8.6640625" style="1"/>
  </cols>
  <sheetData>
    <row r="1" spans="1:12" ht="36.75" customHeight="1">
      <c r="A1" s="39" t="s">
        <v>91</v>
      </c>
      <c r="B1" s="6"/>
      <c r="C1" s="142" t="s">
        <v>0</v>
      </c>
      <c r="D1" s="142"/>
      <c r="E1" s="142"/>
      <c r="F1" s="142" t="s">
        <v>1</v>
      </c>
      <c r="G1" s="142"/>
      <c r="H1" s="142"/>
      <c r="I1" s="142"/>
      <c r="J1" s="142"/>
    </row>
    <row r="2" spans="1:12" ht="14.4">
      <c r="A2" s="3" t="s">
        <v>4</v>
      </c>
      <c r="B2" s="7"/>
      <c r="C2" s="38" t="s">
        <v>73</v>
      </c>
      <c r="D2" s="38" t="s">
        <v>74</v>
      </c>
      <c r="E2" s="38" t="s">
        <v>75</v>
      </c>
      <c r="F2" s="2" t="s">
        <v>23</v>
      </c>
      <c r="G2" s="2" t="s">
        <v>24</v>
      </c>
      <c r="H2" s="2" t="s">
        <v>30</v>
      </c>
      <c r="I2" s="2" t="s">
        <v>31</v>
      </c>
      <c r="J2" s="2" t="s">
        <v>32</v>
      </c>
    </row>
    <row r="3" spans="1:12" ht="14.4">
      <c r="A3" s="4"/>
      <c r="B3" s="21"/>
      <c r="C3" s="21"/>
      <c r="E3" s="20"/>
      <c r="F3" s="20"/>
      <c r="G3" s="20"/>
      <c r="H3" s="20"/>
      <c r="I3" s="20"/>
      <c r="J3" s="20"/>
    </row>
    <row r="4" spans="1:12" ht="14.4">
      <c r="A4" s="4"/>
      <c r="B4" s="21"/>
      <c r="C4" s="21"/>
      <c r="E4" s="20"/>
      <c r="F4" s="20"/>
      <c r="G4" s="20"/>
      <c r="H4" s="20"/>
      <c r="I4" s="20"/>
      <c r="J4" s="20"/>
    </row>
    <row r="5" spans="1:12" ht="14.4">
      <c r="A5" s="4"/>
      <c r="B5" s="21"/>
      <c r="C5" s="21"/>
      <c r="E5" s="20"/>
      <c r="F5" s="20"/>
      <c r="G5" s="20"/>
      <c r="H5" s="20"/>
      <c r="I5" s="20"/>
      <c r="J5" s="20"/>
    </row>
    <row r="6" spans="1:12">
      <c r="B6" s="17" t="s">
        <v>37</v>
      </c>
      <c r="C6" s="22"/>
      <c r="E6" s="13"/>
      <c r="F6" s="13"/>
      <c r="G6" s="13"/>
      <c r="H6" s="13"/>
      <c r="I6" s="13"/>
      <c r="J6" s="13"/>
    </row>
    <row r="7" spans="1:12">
      <c r="B7" s="1" t="s">
        <v>16</v>
      </c>
      <c r="C7" s="87">
        <f>'Balance Sheet'!C8</f>
        <v>1440</v>
      </c>
      <c r="D7" s="87">
        <f>'Balance Sheet'!D8</f>
        <v>1700</v>
      </c>
      <c r="E7" s="87">
        <f>'Balance Sheet'!E8</f>
        <v>1960</v>
      </c>
      <c r="F7" s="57">
        <f>F11/F15</f>
        <v>2394.2082191780823</v>
      </c>
      <c r="G7" s="57">
        <f t="shared" ref="G7:J7" si="0">G11/G15</f>
        <v>2838.6166575342472</v>
      </c>
      <c r="H7" s="57">
        <f t="shared" si="0"/>
        <v>3366.0952613698632</v>
      </c>
      <c r="I7" s="57">
        <f t="shared" si="0"/>
        <v>3992.2738225534245</v>
      </c>
      <c r="J7" s="57">
        <f t="shared" si="0"/>
        <v>4735.7408211489319</v>
      </c>
    </row>
    <row r="8" spans="1:12">
      <c r="B8" s="1" t="s">
        <v>17</v>
      </c>
      <c r="C8" s="87">
        <f>'Balance Sheet'!C9</f>
        <v>3100</v>
      </c>
      <c r="D8" s="87">
        <f>'Balance Sheet'!D9</f>
        <v>3560</v>
      </c>
      <c r="E8" s="87">
        <f>'Balance Sheet'!E9</f>
        <v>4000</v>
      </c>
      <c r="F8" s="57">
        <f>F12/F16</f>
        <v>4354.7134246575342</v>
      </c>
      <c r="G8" s="57">
        <f t="shared" ref="G8:J8" si="1">G12/G16</f>
        <v>5163.3399232876709</v>
      </c>
      <c r="H8" s="57">
        <f t="shared" si="1"/>
        <v>6123.1866985205479</v>
      </c>
      <c r="I8" s="57">
        <f t="shared" si="1"/>
        <v>7262.7208039802736</v>
      </c>
      <c r="J8" s="57">
        <f t="shared" si="1"/>
        <v>8615.8010681049418</v>
      </c>
    </row>
    <row r="9" spans="1:12">
      <c r="B9" s="1" t="s">
        <v>38</v>
      </c>
      <c r="C9" s="87">
        <f>'Balance Sheet'!C24</f>
        <v>2200</v>
      </c>
      <c r="D9" s="87">
        <f>'Balance Sheet'!D24</f>
        <v>2480</v>
      </c>
      <c r="E9" s="87">
        <f>'Balance Sheet'!E24</f>
        <v>2760</v>
      </c>
      <c r="F9" s="57">
        <f>F12/F17</f>
        <v>2986.0892054794522</v>
      </c>
      <c r="G9" s="57">
        <f t="shared" ref="G9:J9" si="2">G12/G17</f>
        <v>3540.5759473972603</v>
      </c>
      <c r="H9" s="57">
        <f t="shared" si="2"/>
        <v>4198.7565932712323</v>
      </c>
      <c r="I9" s="57">
        <f t="shared" si="2"/>
        <v>4980.1514084436158</v>
      </c>
      <c r="J9" s="57">
        <f t="shared" si="2"/>
        <v>5907.9778752719594</v>
      </c>
    </row>
    <row r="10" spans="1:12">
      <c r="C10" s="30"/>
      <c r="D10" s="30"/>
      <c r="E10" s="30"/>
      <c r="F10" s="30"/>
      <c r="G10" s="30"/>
      <c r="H10" s="30"/>
      <c r="I10" s="30"/>
      <c r="J10" s="30"/>
    </row>
    <row r="11" spans="1:12">
      <c r="B11" s="17" t="s">
        <v>42</v>
      </c>
      <c r="C11" s="88">
        <f>'Income Statement'!C9</f>
        <v>25500</v>
      </c>
      <c r="D11" s="88">
        <f>'Income Statement'!D9</f>
        <v>31700</v>
      </c>
      <c r="E11" s="88">
        <f>'Income Statement'!E9</f>
        <v>38800</v>
      </c>
      <c r="F11" s="88">
        <f>'Income Statement'!F9</f>
        <v>45994</v>
      </c>
      <c r="G11" s="88">
        <f>'Income Statement'!G9</f>
        <v>54531.320000000007</v>
      </c>
      <c r="H11" s="88">
        <f>'Income Statement'!H9</f>
        <v>64664.461600000002</v>
      </c>
      <c r="I11" s="88">
        <f>'Income Statement'!I9</f>
        <v>76693.681327999991</v>
      </c>
      <c r="J11" s="88">
        <f>'Income Statement'!J9</f>
        <v>90976.073669439997</v>
      </c>
    </row>
    <row r="12" spans="1:12">
      <c r="B12" s="17" t="s">
        <v>13</v>
      </c>
      <c r="C12" s="88">
        <f>'Income Statement'!C14</f>
        <v>12500</v>
      </c>
      <c r="D12" s="88">
        <f>'Income Statement'!D14</f>
        <v>15550</v>
      </c>
      <c r="E12" s="88">
        <f>'Income Statement'!E14</f>
        <v>19100</v>
      </c>
      <c r="F12" s="88">
        <f>'Income Statement'!F14</f>
        <v>22706.720000000001</v>
      </c>
      <c r="G12" s="88">
        <f>'Income Statement'!G14</f>
        <v>26923.1296</v>
      </c>
      <c r="H12" s="88">
        <f>'Income Statement'!H14</f>
        <v>31928.044927999999</v>
      </c>
      <c r="I12" s="88">
        <f>'Income Statement'!I14</f>
        <v>37869.901335039998</v>
      </c>
      <c r="J12" s="88">
        <f>'Income Statement'!J14</f>
        <v>44925.248426547194</v>
      </c>
    </row>
    <row r="13" spans="1:12">
      <c r="C13" s="30"/>
      <c r="D13" s="30"/>
      <c r="E13" s="30"/>
      <c r="F13" s="30"/>
      <c r="G13" s="30"/>
      <c r="H13" s="30"/>
      <c r="I13" s="30"/>
      <c r="J13" s="30"/>
    </row>
    <row r="14" spans="1:12" ht="14.4" thickBot="1">
      <c r="B14" s="93" t="s">
        <v>39</v>
      </c>
      <c r="C14" s="30"/>
      <c r="D14" s="30"/>
      <c r="E14" s="30"/>
      <c r="F14" s="30"/>
      <c r="G14" s="30"/>
      <c r="H14" s="30"/>
      <c r="I14" s="30"/>
      <c r="J14" s="30"/>
    </row>
    <row r="15" spans="1:12">
      <c r="B15" s="1" t="s">
        <v>119</v>
      </c>
      <c r="C15" s="89">
        <f>C11/C7</f>
        <v>17.708333333333332</v>
      </c>
      <c r="D15" s="89">
        <f t="shared" ref="D15:E15" si="3">D11/D7</f>
        <v>18.647058823529413</v>
      </c>
      <c r="E15" s="89">
        <f t="shared" si="3"/>
        <v>19.795918367346939</v>
      </c>
      <c r="F15" s="89">
        <f>$L$16/F19</f>
        <v>19.210526315789473</v>
      </c>
      <c r="G15" s="89">
        <f t="shared" ref="G15:J15" si="4">$L$16/G19</f>
        <v>19.210526315789473</v>
      </c>
      <c r="H15" s="89">
        <f t="shared" si="4"/>
        <v>19.210526315789473</v>
      </c>
      <c r="I15" s="89">
        <f t="shared" si="4"/>
        <v>19.210526315789473</v>
      </c>
      <c r="J15" s="89">
        <f t="shared" si="4"/>
        <v>19.210526315789473</v>
      </c>
      <c r="L15" s="34" t="s">
        <v>41</v>
      </c>
    </row>
    <row r="16" spans="1:12" ht="14.4" thickBot="1">
      <c r="B16" s="1" t="s">
        <v>114</v>
      </c>
      <c r="C16" s="89">
        <f>C12/C8</f>
        <v>4.032258064516129</v>
      </c>
      <c r="D16" s="89">
        <f t="shared" ref="D16:E16" si="5">D12/D8</f>
        <v>4.367977528089888</v>
      </c>
      <c r="E16" s="89">
        <f t="shared" si="5"/>
        <v>4.7750000000000004</v>
      </c>
      <c r="F16" s="89">
        <f>$L$16/F20</f>
        <v>5.2142857142857144</v>
      </c>
      <c r="G16" s="89">
        <f t="shared" ref="G16:J16" si="6">$L$16/G20</f>
        <v>5.2142857142857144</v>
      </c>
      <c r="H16" s="89">
        <f t="shared" si="6"/>
        <v>5.2142857142857144</v>
      </c>
      <c r="I16" s="89">
        <f t="shared" si="6"/>
        <v>5.2142857142857144</v>
      </c>
      <c r="J16" s="89">
        <f t="shared" si="6"/>
        <v>5.2142857142857144</v>
      </c>
      <c r="L16" s="35">
        <v>365</v>
      </c>
    </row>
    <row r="17" spans="2:10">
      <c r="B17" s="1" t="s">
        <v>115</v>
      </c>
      <c r="C17" s="89">
        <f>C12/C9</f>
        <v>5.6818181818181817</v>
      </c>
      <c r="D17" s="89">
        <f t="shared" ref="D17:E17" si="7">D12/D9</f>
        <v>6.270161290322581</v>
      </c>
      <c r="E17" s="89">
        <f t="shared" si="7"/>
        <v>6.9202898550724639</v>
      </c>
      <c r="F17" s="89">
        <f>$L$16/F21</f>
        <v>7.604166666666667</v>
      </c>
      <c r="G17" s="89">
        <f t="shared" ref="G17:J17" si="8">$L$16/G21</f>
        <v>7.604166666666667</v>
      </c>
      <c r="H17" s="89">
        <f t="shared" si="8"/>
        <v>7.604166666666667</v>
      </c>
      <c r="I17" s="89">
        <f t="shared" si="8"/>
        <v>7.604166666666667</v>
      </c>
      <c r="J17" s="89">
        <f t="shared" si="8"/>
        <v>7.604166666666667</v>
      </c>
    </row>
    <row r="18" spans="2:10">
      <c r="C18" s="30"/>
      <c r="D18" s="30"/>
      <c r="E18" s="30"/>
      <c r="F18" s="30"/>
      <c r="G18" s="30"/>
      <c r="H18" s="30"/>
      <c r="I18" s="30"/>
      <c r="J18" s="30"/>
    </row>
    <row r="19" spans="2:10">
      <c r="B19" s="1" t="s">
        <v>116</v>
      </c>
      <c r="C19" s="89">
        <f>$L$16/C15</f>
        <v>20.611764705882354</v>
      </c>
      <c r="D19" s="89">
        <f t="shared" ref="D19:E19" si="9">$L$16/D15</f>
        <v>19.574132492113563</v>
      </c>
      <c r="E19" s="89">
        <f t="shared" si="9"/>
        <v>18.438144329896907</v>
      </c>
      <c r="F19" s="90">
        <v>19</v>
      </c>
      <c r="G19" s="90">
        <v>19</v>
      </c>
      <c r="H19" s="90">
        <v>19</v>
      </c>
      <c r="I19" s="90">
        <v>19</v>
      </c>
      <c r="J19" s="90">
        <v>19</v>
      </c>
    </row>
    <row r="20" spans="2:10">
      <c r="B20" s="1" t="s">
        <v>117</v>
      </c>
      <c r="C20" s="103">
        <f>$L$16/C16</f>
        <v>90.52</v>
      </c>
      <c r="D20" s="103">
        <f t="shared" ref="D20:E20" si="10">$L$16/D16</f>
        <v>83.562700964630224</v>
      </c>
      <c r="E20" s="103">
        <f t="shared" si="10"/>
        <v>76.43979057591622</v>
      </c>
      <c r="F20" s="90">
        <v>70</v>
      </c>
      <c r="G20" s="90">
        <v>70</v>
      </c>
      <c r="H20" s="90">
        <v>70</v>
      </c>
      <c r="I20" s="90">
        <v>70</v>
      </c>
      <c r="J20" s="90">
        <v>70</v>
      </c>
    </row>
    <row r="21" spans="2:10">
      <c r="B21" s="1" t="s">
        <v>118</v>
      </c>
      <c r="C21" s="89">
        <f>$L$16/C17</f>
        <v>64.239999999999995</v>
      </c>
      <c r="D21" s="89">
        <f t="shared" ref="D21:E21" si="11">$L$16/D17</f>
        <v>58.212218649517681</v>
      </c>
      <c r="E21" s="89">
        <f t="shared" si="11"/>
        <v>52.7434554973822</v>
      </c>
      <c r="F21" s="90">
        <v>48</v>
      </c>
      <c r="G21" s="90">
        <v>48</v>
      </c>
      <c r="H21" s="90">
        <v>48</v>
      </c>
      <c r="I21" s="90">
        <v>48</v>
      </c>
      <c r="J21" s="90">
        <v>48</v>
      </c>
    </row>
    <row r="22" spans="2:10">
      <c r="B22" s="36" t="s">
        <v>40</v>
      </c>
      <c r="C22" s="37">
        <f>C19+C20-C21</f>
        <v>46.891764705882352</v>
      </c>
      <c r="D22" s="37">
        <f t="shared" ref="D22:E22" si="12">D19+D20-D21</f>
        <v>44.924614807226106</v>
      </c>
      <c r="E22" s="37">
        <f t="shared" si="12"/>
        <v>42.134479408430934</v>
      </c>
      <c r="F22" s="37">
        <f>F19+F20-F21</f>
        <v>41</v>
      </c>
      <c r="G22" s="37">
        <f t="shared" ref="G22:J22" si="13">G19+G20-G21</f>
        <v>41</v>
      </c>
      <c r="H22" s="37">
        <f t="shared" si="13"/>
        <v>41</v>
      </c>
      <c r="I22" s="37">
        <f t="shared" si="13"/>
        <v>41</v>
      </c>
      <c r="J22" s="37">
        <f t="shared" si="13"/>
        <v>41</v>
      </c>
    </row>
    <row r="33" spans="2:6">
      <c r="B33" s="17"/>
    </row>
    <row r="34" spans="2:6">
      <c r="B34" s="17"/>
    </row>
    <row r="47" spans="2:6">
      <c r="F47" s="1" t="s">
        <v>35</v>
      </c>
    </row>
    <row r="2385" spans="6:6">
      <c r="F2385" s="1" t="s">
        <v>35</v>
      </c>
    </row>
    <row r="2386" spans="6:6">
      <c r="F2386" s="1" t="s">
        <v>35</v>
      </c>
    </row>
    <row r="2685" spans="6:6">
      <c r="F2685" s="1" t="s">
        <v>35</v>
      </c>
    </row>
    <row r="2686" spans="6:6">
      <c r="F2686" s="1" t="s">
        <v>35</v>
      </c>
    </row>
    <row r="2687" spans="6:6">
      <c r="F2687" s="1" t="s">
        <v>35</v>
      </c>
    </row>
    <row r="2688" spans="6:6">
      <c r="F2688" s="1" t="s">
        <v>35</v>
      </c>
    </row>
    <row r="1048543" spans="6:6">
      <c r="F1048543" s="1" t="s">
        <v>35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3"/>
  <sheetViews>
    <sheetView showGridLines="0" zoomScale="110" zoomScaleNormal="110" workbookViewId="0">
      <pane ySplit="4" topLeftCell="A5" activePane="bottomLeft" state="frozen"/>
      <selection activeCell="E17" sqref="E17"/>
      <selection pane="bottomLeft" activeCell="E85" sqref="E85"/>
    </sheetView>
  </sheetViews>
  <sheetFormatPr defaultColWidth="8.6640625" defaultRowHeight="13.8"/>
  <cols>
    <col min="1" max="1" width="3.5546875" style="1" customWidth="1"/>
    <col min="2" max="2" width="53.5546875" style="1" bestFit="1" customWidth="1"/>
    <col min="3" max="3" width="9.5546875" style="1" bestFit="1" customWidth="1"/>
    <col min="4" max="4" width="14.5546875" style="1" customWidth="1"/>
    <col min="5" max="9" width="12.5546875" style="1" customWidth="1"/>
    <col min="10" max="10" width="10.5546875" style="1" bestFit="1" customWidth="1"/>
    <col min="11" max="16384" width="8.6640625" style="1"/>
  </cols>
  <sheetData>
    <row r="1" spans="1:10" ht="36.75" customHeight="1">
      <c r="A1" s="39" t="s">
        <v>92</v>
      </c>
      <c r="B1" s="6"/>
      <c r="C1" s="142" t="s">
        <v>0</v>
      </c>
      <c r="D1" s="142"/>
      <c r="E1" s="142"/>
      <c r="F1" s="142" t="s">
        <v>1</v>
      </c>
      <c r="G1" s="142"/>
      <c r="H1" s="142"/>
      <c r="I1" s="142"/>
      <c r="J1" s="142"/>
    </row>
    <row r="2" spans="1:10" ht="14.4">
      <c r="A2" s="3" t="s">
        <v>4</v>
      </c>
      <c r="B2" s="7"/>
      <c r="C2" s="38" t="s">
        <v>73</v>
      </c>
      <c r="D2" s="38" t="s">
        <v>74</v>
      </c>
      <c r="E2" s="38" t="s">
        <v>75</v>
      </c>
      <c r="F2" s="2" t="s">
        <v>23</v>
      </c>
      <c r="G2" s="2" t="s">
        <v>24</v>
      </c>
      <c r="H2" s="2" t="s">
        <v>30</v>
      </c>
      <c r="I2" s="2" t="s">
        <v>31</v>
      </c>
      <c r="J2" s="2" t="s">
        <v>32</v>
      </c>
    </row>
    <row r="3" spans="1:10" ht="14.4">
      <c r="A3" s="4"/>
      <c r="B3" s="21"/>
      <c r="C3" s="21"/>
      <c r="E3" s="20"/>
      <c r="F3" s="20"/>
      <c r="G3" s="20"/>
      <c r="H3" s="20"/>
      <c r="I3" s="20"/>
      <c r="J3" s="20"/>
    </row>
    <row r="4" spans="1:10" ht="14.4">
      <c r="A4" s="4"/>
      <c r="B4" s="21"/>
      <c r="C4" s="21"/>
      <c r="E4" s="20"/>
      <c r="F4" s="20"/>
      <c r="G4" s="20"/>
      <c r="H4" s="20"/>
      <c r="I4" s="20"/>
      <c r="J4" s="20"/>
    </row>
    <row r="5" spans="1:10" ht="14.4">
      <c r="A5" s="4"/>
      <c r="B5" s="21"/>
      <c r="C5" s="21"/>
      <c r="E5" s="20"/>
      <c r="F5" s="20"/>
      <c r="G5" s="20"/>
      <c r="H5" s="20"/>
      <c r="I5" s="20"/>
      <c r="J5" s="20"/>
    </row>
    <row r="6" spans="1:10">
      <c r="B6" s="17" t="s">
        <v>64</v>
      </c>
      <c r="E6" s="57"/>
      <c r="F6" s="57"/>
      <c r="G6" s="57"/>
      <c r="H6" s="57"/>
      <c r="I6" s="57"/>
      <c r="J6" s="57"/>
    </row>
    <row r="7" spans="1:10">
      <c r="B7" s="1" t="s">
        <v>58</v>
      </c>
      <c r="E7" s="57"/>
      <c r="F7" s="57">
        <f>E10</f>
        <v>25200</v>
      </c>
      <c r="G7" s="57">
        <f t="shared" ref="G7:J7" si="0">F10</f>
        <v>24200</v>
      </c>
      <c r="H7" s="57">
        <f t="shared" si="0"/>
        <v>23200</v>
      </c>
      <c r="I7" s="57">
        <f t="shared" si="0"/>
        <v>22200</v>
      </c>
      <c r="J7" s="57">
        <f t="shared" si="0"/>
        <v>21200</v>
      </c>
    </row>
    <row r="8" spans="1:10">
      <c r="B8" s="1" t="s">
        <v>60</v>
      </c>
      <c r="E8" s="57"/>
      <c r="F8" s="56">
        <v>1000</v>
      </c>
      <c r="G8" s="56">
        <v>1000</v>
      </c>
      <c r="H8" s="56">
        <v>1000</v>
      </c>
      <c r="I8" s="56">
        <v>1000</v>
      </c>
      <c r="J8" s="56">
        <v>1000</v>
      </c>
    </row>
    <row r="9" spans="1:10" ht="18" customHeight="1">
      <c r="B9" s="1" t="s">
        <v>61</v>
      </c>
      <c r="E9" s="57"/>
      <c r="F9" s="56">
        <v>-2000</v>
      </c>
      <c r="G9" s="56">
        <v>-2000</v>
      </c>
      <c r="H9" s="56">
        <v>-2000</v>
      </c>
      <c r="I9" s="56">
        <v>-2000</v>
      </c>
      <c r="J9" s="56">
        <v>-2000</v>
      </c>
    </row>
    <row r="10" spans="1:10">
      <c r="B10" s="18" t="s">
        <v>59</v>
      </c>
      <c r="C10" s="18"/>
      <c r="D10" s="18"/>
      <c r="E10" s="91">
        <f>'Balance Sheet'!E27</f>
        <v>25200</v>
      </c>
      <c r="F10" s="85">
        <f>SUM(F7:F9)</f>
        <v>24200</v>
      </c>
      <c r="G10" s="85">
        <f t="shared" ref="G10:J10" si="1">SUM(G7:G9)</f>
        <v>23200</v>
      </c>
      <c r="H10" s="85">
        <f t="shared" si="1"/>
        <v>22200</v>
      </c>
      <c r="I10" s="85">
        <f t="shared" si="1"/>
        <v>21200</v>
      </c>
      <c r="J10" s="85">
        <f t="shared" si="1"/>
        <v>20200</v>
      </c>
    </row>
    <row r="11" spans="1:10">
      <c r="E11" s="57"/>
      <c r="F11" s="57"/>
      <c r="G11" s="57"/>
      <c r="H11" s="57"/>
      <c r="I11" s="57"/>
      <c r="J11" s="57"/>
    </row>
    <row r="12" spans="1:10">
      <c r="B12" s="22" t="s">
        <v>98</v>
      </c>
      <c r="E12" s="57"/>
      <c r="F12" s="57"/>
      <c r="G12" s="57"/>
      <c r="H12" s="57"/>
      <c r="I12" s="57"/>
      <c r="J12" s="57"/>
    </row>
    <row r="13" spans="1:10">
      <c r="B13" s="1" t="s">
        <v>65</v>
      </c>
      <c r="E13" s="57"/>
      <c r="F13" s="57">
        <f>AVERAGE(E10:F10)</f>
        <v>24700</v>
      </c>
      <c r="G13" s="57">
        <f t="shared" ref="G13:J13" si="2">AVERAGE(F10:G10)</f>
        <v>23700</v>
      </c>
      <c r="H13" s="57">
        <f t="shared" si="2"/>
        <v>22700</v>
      </c>
      <c r="I13" s="57">
        <f t="shared" si="2"/>
        <v>21700</v>
      </c>
      <c r="J13" s="57">
        <f t="shared" si="2"/>
        <v>20700</v>
      </c>
    </row>
    <row r="14" spans="1:10">
      <c r="B14" s="1" t="s">
        <v>25</v>
      </c>
      <c r="E14" s="57"/>
      <c r="F14" s="92">
        <v>0.09</v>
      </c>
      <c r="G14" s="92">
        <v>0.09</v>
      </c>
      <c r="H14" s="92">
        <v>0.09</v>
      </c>
      <c r="I14" s="92">
        <v>0.09</v>
      </c>
      <c r="J14" s="92">
        <v>0.09</v>
      </c>
    </row>
    <row r="15" spans="1:10">
      <c r="B15" s="18" t="s">
        <v>10</v>
      </c>
      <c r="C15" s="18"/>
      <c r="D15" s="18"/>
      <c r="E15" s="85"/>
      <c r="F15" s="85">
        <f>F13*F14</f>
        <v>2223</v>
      </c>
      <c r="G15" s="85">
        <f t="shared" ref="G15:J15" si="3">G13*G14</f>
        <v>2133</v>
      </c>
      <c r="H15" s="85">
        <f t="shared" si="3"/>
        <v>2043</v>
      </c>
      <c r="I15" s="85">
        <f t="shared" si="3"/>
        <v>1953</v>
      </c>
      <c r="J15" s="85">
        <f t="shared" si="3"/>
        <v>1863</v>
      </c>
    </row>
    <row r="16" spans="1:10">
      <c r="E16" s="57"/>
      <c r="F16" s="57"/>
      <c r="G16" s="57"/>
      <c r="H16" s="57"/>
      <c r="I16" s="57"/>
      <c r="J16" s="57"/>
    </row>
    <row r="17" spans="2:10">
      <c r="B17" s="22" t="s">
        <v>93</v>
      </c>
      <c r="E17" s="57"/>
      <c r="F17" s="57"/>
      <c r="G17" s="57"/>
      <c r="H17" s="57"/>
      <c r="I17" s="57"/>
      <c r="J17" s="57"/>
    </row>
    <row r="18" spans="2:10">
      <c r="B18" s="1" t="s">
        <v>67</v>
      </c>
      <c r="E18" s="57"/>
      <c r="F18" s="57">
        <f>'Cash Flow'!F26</f>
        <v>1400</v>
      </c>
      <c r="G18" s="57">
        <f>'Cash Flow'!G26</f>
        <v>1204.1842616438371</v>
      </c>
      <c r="H18" s="57">
        <f>'Cash Flow'!H26</f>
        <v>1855.8701989079236</v>
      </c>
      <c r="I18" s="57">
        <f>'Cash Flow'!I26</f>
        <v>3831.5006764443078</v>
      </c>
      <c r="J18" s="57">
        <f>'Cash Flow'!J26</f>
        <v>8673.7286649220896</v>
      </c>
    </row>
    <row r="19" spans="2:10">
      <c r="B19" s="1" t="s">
        <v>62</v>
      </c>
      <c r="E19" s="57"/>
      <c r="F19" s="92">
        <v>0.03</v>
      </c>
      <c r="G19" s="92">
        <v>0.03</v>
      </c>
      <c r="H19" s="92">
        <v>0.03</v>
      </c>
      <c r="I19" s="92">
        <v>0.03</v>
      </c>
      <c r="J19" s="92">
        <v>0.03</v>
      </c>
    </row>
    <row r="20" spans="2:10">
      <c r="B20" s="18" t="s">
        <v>63</v>
      </c>
      <c r="C20" s="18"/>
      <c r="D20" s="18"/>
      <c r="E20" s="85"/>
      <c r="F20" s="85">
        <f>F18*F19</f>
        <v>42</v>
      </c>
      <c r="G20" s="85">
        <f t="shared" ref="G20:J20" si="4">G18*G19</f>
        <v>36.125527849315112</v>
      </c>
      <c r="H20" s="85">
        <f t="shared" si="4"/>
        <v>55.67610596723771</v>
      </c>
      <c r="I20" s="85">
        <f t="shared" si="4"/>
        <v>114.94502029332924</v>
      </c>
      <c r="J20" s="85">
        <f t="shared" si="4"/>
        <v>260.21185994766267</v>
      </c>
    </row>
    <row r="21" spans="2:10">
      <c r="E21" s="19"/>
      <c r="F21" s="19"/>
      <c r="G21" s="19"/>
      <c r="H21" s="19"/>
      <c r="I21" s="19"/>
      <c r="J21" s="19"/>
    </row>
    <row r="22" spans="2:10">
      <c r="E22" s="19"/>
      <c r="F22" s="19"/>
      <c r="G22" s="19"/>
      <c r="H22" s="19"/>
      <c r="I22" s="19"/>
      <c r="J22" s="19"/>
    </row>
    <row r="23" spans="2:10">
      <c r="B23" s="1" t="s">
        <v>120</v>
      </c>
    </row>
    <row r="24" spans="2:10">
      <c r="B24" s="1" t="s">
        <v>121</v>
      </c>
    </row>
    <row r="2335" spans="6:6">
      <c r="F2335" s="1" t="s">
        <v>35</v>
      </c>
    </row>
    <row r="2336" spans="6:6">
      <c r="F2336" s="1" t="s">
        <v>35</v>
      </c>
    </row>
    <row r="1048493" spans="6:6">
      <c r="F1048493" s="1" t="s">
        <v>35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1910-819B-4221-9C11-7037913C674F}">
  <dimension ref="A1:Z11"/>
  <sheetViews>
    <sheetView tabSelected="1" zoomScaleNormal="100" workbookViewId="0">
      <selection activeCell="S56" sqref="S56"/>
    </sheetView>
  </sheetViews>
  <sheetFormatPr defaultRowHeight="14.4"/>
  <cols>
    <col min="1" max="1" width="1.88671875" style="106" customWidth="1"/>
    <col min="2" max="3" width="8.88671875" style="106"/>
    <col min="4" max="4" width="8.88671875" style="106" customWidth="1"/>
    <col min="5" max="5" width="1.44140625" style="106" customWidth="1"/>
    <col min="6" max="6" width="8.88671875" style="106" customWidth="1"/>
    <col min="7" max="7" width="10.44140625" style="106" bestFit="1" customWidth="1"/>
    <col min="8" max="8" width="8.88671875" style="106"/>
    <col min="9" max="9" width="1.44140625" style="106" customWidth="1"/>
    <col min="10" max="10" width="8.88671875" style="106"/>
    <col min="11" max="11" width="10.44140625" style="106" bestFit="1" customWidth="1"/>
    <col min="12" max="12" width="8.88671875" style="106"/>
    <col min="13" max="13" width="1.109375" style="106" customWidth="1"/>
    <col min="14" max="14" width="8.88671875" style="106"/>
    <col min="15" max="15" width="10.44140625" style="106" bestFit="1" customWidth="1"/>
    <col min="16" max="16" width="8.88671875" style="106"/>
    <col min="17" max="17" width="1.33203125" style="106" customWidth="1"/>
    <col min="18" max="19" width="8.88671875" style="106"/>
    <col min="20" max="20" width="10.44140625" style="106" bestFit="1" customWidth="1"/>
    <col min="21" max="21" width="1.33203125" style="106" customWidth="1"/>
    <col min="22" max="23" width="8.88671875" style="106"/>
    <col min="24" max="24" width="11.109375" style="106" customWidth="1"/>
    <col min="25" max="25" width="3.88671875" style="106" customWidth="1"/>
    <col min="26" max="26" width="8.88671875" style="106" customWidth="1"/>
    <col min="27" max="27" width="8.88671875" style="106"/>
    <col min="28" max="28" width="2.5546875" style="106" customWidth="1"/>
    <col min="29" max="16384" width="8.88671875" style="106"/>
  </cols>
  <sheetData>
    <row r="1" spans="1:26" ht="14.4" customHeight="1">
      <c r="A1" s="109"/>
      <c r="B1" s="131" t="s">
        <v>137</v>
      </c>
      <c r="C1" s="131"/>
      <c r="D1" s="131"/>
      <c r="E1" s="131"/>
      <c r="F1" s="131"/>
      <c r="G1" s="131"/>
      <c r="H1" s="118" t="s">
        <v>140</v>
      </c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 spans="1:26" ht="15" customHeight="1">
      <c r="A2" s="109"/>
      <c r="B2" s="131"/>
      <c r="C2" s="131"/>
      <c r="D2" s="131"/>
      <c r="E2" s="131"/>
      <c r="F2" s="131"/>
      <c r="G2" s="131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 spans="1:26" ht="45.6" customHeight="1" thickBot="1">
      <c r="A3" s="109"/>
      <c r="B3" s="131"/>
      <c r="C3" s="131"/>
      <c r="D3" s="131"/>
      <c r="E3" s="131"/>
      <c r="F3" s="131"/>
      <c r="G3" s="131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 spans="1:26" ht="14.4" customHeight="1">
      <c r="A4" s="107"/>
      <c r="B4" s="119" t="s">
        <v>87</v>
      </c>
      <c r="C4" s="120"/>
      <c r="D4" s="121"/>
      <c r="F4" s="119" t="s">
        <v>22</v>
      </c>
      <c r="G4" s="132"/>
      <c r="H4" s="133"/>
      <c r="J4" s="119" t="s">
        <v>138</v>
      </c>
      <c r="K4" s="137"/>
      <c r="L4" s="138"/>
      <c r="N4" s="119" t="s">
        <v>77</v>
      </c>
      <c r="O4" s="120"/>
      <c r="P4" s="121"/>
      <c r="R4" s="119" t="s">
        <v>139</v>
      </c>
      <c r="S4" s="120"/>
      <c r="T4" s="121"/>
      <c r="V4" s="119" t="s">
        <v>103</v>
      </c>
      <c r="W4" s="120"/>
      <c r="X4" s="121"/>
      <c r="Y4" s="107"/>
      <c r="Z4" s="107"/>
    </row>
    <row r="5" spans="1:26" ht="14.4" customHeight="1">
      <c r="A5" s="107"/>
      <c r="B5" s="122"/>
      <c r="C5" s="123"/>
      <c r="D5" s="124"/>
      <c r="F5" s="134"/>
      <c r="G5" s="135"/>
      <c r="H5" s="136"/>
      <c r="J5" s="139"/>
      <c r="K5" s="140"/>
      <c r="L5" s="141"/>
      <c r="N5" s="122"/>
      <c r="O5" s="123"/>
      <c r="P5" s="124"/>
      <c r="R5" s="122"/>
      <c r="S5" s="123"/>
      <c r="T5" s="124"/>
      <c r="V5" s="122"/>
      <c r="W5" s="123"/>
      <c r="X5" s="124"/>
      <c r="Y5" s="107"/>
      <c r="Z5" s="107"/>
    </row>
    <row r="6" spans="1:26" ht="14.4" customHeight="1">
      <c r="A6" s="107"/>
      <c r="B6" s="122"/>
      <c r="C6" s="123"/>
      <c r="D6" s="124"/>
      <c r="F6" s="134"/>
      <c r="G6" s="135"/>
      <c r="H6" s="136"/>
      <c r="J6" s="139"/>
      <c r="K6" s="140"/>
      <c r="L6" s="141"/>
      <c r="N6" s="122"/>
      <c r="O6" s="123"/>
      <c r="P6" s="124"/>
      <c r="R6" s="122"/>
      <c r="S6" s="123"/>
      <c r="T6" s="124"/>
      <c r="V6" s="122"/>
      <c r="W6" s="123"/>
      <c r="X6" s="124"/>
      <c r="Y6" s="107"/>
      <c r="Z6" s="107"/>
    </row>
    <row r="7" spans="1:26" ht="14.4" customHeight="1">
      <c r="A7" s="108"/>
      <c r="B7" s="125">
        <f>'Income Statement'!J9</f>
        <v>90976.073669439997</v>
      </c>
      <c r="C7" s="126"/>
      <c r="D7" s="127"/>
      <c r="F7" s="125">
        <f>'Income Statement'!J30</f>
        <v>20458.100296771547</v>
      </c>
      <c r="G7" s="126"/>
      <c r="H7" s="127"/>
      <c r="J7" s="125">
        <f>'Cash Flow'!J27</f>
        <v>16057.031480926604</v>
      </c>
      <c r="K7" s="126"/>
      <c r="L7" s="127"/>
      <c r="N7" s="125">
        <f>'Balance Sheet'!J28</f>
        <v>20200</v>
      </c>
      <c r="O7" s="126"/>
      <c r="P7" s="127"/>
      <c r="R7" s="125">
        <f>'Cash Flow'!J14-'Dep Capex'!J11</f>
        <v>8383.3028160045142</v>
      </c>
      <c r="S7" s="126"/>
      <c r="T7" s="127"/>
      <c r="V7" s="112">
        <f>'Income Statement'!J18/'Income Statement'!J9</f>
        <v>0.35618611449662785</v>
      </c>
      <c r="W7" s="113"/>
      <c r="X7" s="114"/>
      <c r="Y7" s="110"/>
      <c r="Z7" s="110"/>
    </row>
    <row r="8" spans="1:26" ht="14.4" customHeight="1">
      <c r="A8" s="108"/>
      <c r="B8" s="125"/>
      <c r="C8" s="126"/>
      <c r="D8" s="127"/>
      <c r="F8" s="125"/>
      <c r="G8" s="126"/>
      <c r="H8" s="127"/>
      <c r="J8" s="125"/>
      <c r="K8" s="126"/>
      <c r="L8" s="127"/>
      <c r="N8" s="125"/>
      <c r="O8" s="126"/>
      <c r="P8" s="127"/>
      <c r="R8" s="125"/>
      <c r="S8" s="126"/>
      <c r="T8" s="127"/>
      <c r="V8" s="112"/>
      <c r="W8" s="113"/>
      <c r="X8" s="114"/>
      <c r="Y8" s="110"/>
      <c r="Z8" s="110"/>
    </row>
    <row r="9" spans="1:26" ht="14.4" customHeight="1" thickBot="1">
      <c r="A9" s="108"/>
      <c r="B9" s="128"/>
      <c r="C9" s="129"/>
      <c r="D9" s="130"/>
      <c r="F9" s="128"/>
      <c r="G9" s="129"/>
      <c r="H9" s="130"/>
      <c r="J9" s="128"/>
      <c r="K9" s="129"/>
      <c r="L9" s="130"/>
      <c r="N9" s="128"/>
      <c r="O9" s="129"/>
      <c r="P9" s="130"/>
      <c r="R9" s="128"/>
      <c r="S9" s="129"/>
      <c r="T9" s="130"/>
      <c r="V9" s="115"/>
      <c r="W9" s="116"/>
      <c r="X9" s="117"/>
      <c r="Y9" s="110"/>
      <c r="Z9" s="110"/>
    </row>
    <row r="10" spans="1:26" ht="14.4" customHeight="1">
      <c r="A10" s="108"/>
      <c r="B10" s="108"/>
      <c r="C10" s="108"/>
      <c r="D10" s="108"/>
    </row>
    <row r="11" spans="1:26" ht="15" customHeight="1">
      <c r="A11" s="108"/>
      <c r="B11" s="108"/>
      <c r="C11" s="108"/>
      <c r="D11" s="108"/>
    </row>
  </sheetData>
  <mergeCells count="14">
    <mergeCell ref="B1:G3"/>
    <mergeCell ref="F4:H6"/>
    <mergeCell ref="F7:H9"/>
    <mergeCell ref="J4:L6"/>
    <mergeCell ref="J7:L9"/>
    <mergeCell ref="B4:D6"/>
    <mergeCell ref="B7:D9"/>
    <mergeCell ref="V7:X9"/>
    <mergeCell ref="H1:X3"/>
    <mergeCell ref="R4:T6"/>
    <mergeCell ref="R7:T9"/>
    <mergeCell ref="V4:X6"/>
    <mergeCell ref="N4:P6"/>
    <mergeCell ref="N7:P9"/>
  </mergeCells>
  <pageMargins left="0.25" right="0.25" top="0.75" bottom="0.75" header="0.3" footer="0.3"/>
  <pageSetup paperSize="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0727-333A-4B87-95D1-1EE9C0AD83C2}">
  <dimension ref="B3:V8"/>
  <sheetViews>
    <sheetView showGridLines="0" workbookViewId="0">
      <selection activeCell="J14" sqref="J14"/>
    </sheetView>
  </sheetViews>
  <sheetFormatPr defaultRowHeight="14.4"/>
  <cols>
    <col min="4" max="4" width="2" hidden="1" customWidth="1"/>
  </cols>
  <sheetData>
    <row r="3" spans="2:22">
      <c r="B3" s="106" t="s">
        <v>141</v>
      </c>
      <c r="C3" s="106" t="s">
        <v>142</v>
      </c>
      <c r="D3" s="106"/>
      <c r="E3" s="106" t="s">
        <v>80</v>
      </c>
      <c r="F3" s="106" t="s">
        <v>79</v>
      </c>
      <c r="H3" s="106" t="s">
        <v>141</v>
      </c>
      <c r="I3" s="106" t="s">
        <v>22</v>
      </c>
      <c r="K3" s="106" t="s">
        <v>141</v>
      </c>
      <c r="L3" s="106" t="s">
        <v>14</v>
      </c>
      <c r="M3" s="106"/>
      <c r="O3" s="106" t="s">
        <v>141</v>
      </c>
      <c r="P3" s="106" t="s">
        <v>143</v>
      </c>
      <c r="Q3" s="106"/>
      <c r="R3" s="106" t="s">
        <v>141</v>
      </c>
      <c r="S3" s="106" t="s">
        <v>77</v>
      </c>
      <c r="U3" s="106" t="s">
        <v>141</v>
      </c>
      <c r="V3" s="106" t="s">
        <v>134</v>
      </c>
    </row>
    <row r="4" spans="2:22">
      <c r="B4" s="106" t="s">
        <v>23</v>
      </c>
      <c r="C4" s="111">
        <f>'Income Statement'!F6</f>
        <v>22200</v>
      </c>
      <c r="D4" s="111"/>
      <c r="E4" s="111">
        <f>'Income Statement'!F7</f>
        <v>14514</v>
      </c>
      <c r="F4" s="111">
        <f>'Income Statement'!F8</f>
        <v>9280</v>
      </c>
      <c r="H4" s="106" t="s">
        <v>23</v>
      </c>
      <c r="I4" s="111">
        <f>'Income Statement'!F30</f>
        <v>9297.2867000000006</v>
      </c>
      <c r="K4" s="106" t="s">
        <v>23</v>
      </c>
      <c r="L4" s="111">
        <f>'Income Statement'!F14</f>
        <v>22706.720000000001</v>
      </c>
      <c r="M4" s="106"/>
      <c r="O4" s="106" t="s">
        <v>23</v>
      </c>
      <c r="P4" s="111">
        <f>'Income Statement'!F9</f>
        <v>45994</v>
      </c>
      <c r="Q4" s="106"/>
      <c r="R4" s="106" t="s">
        <v>23</v>
      </c>
      <c r="S4" s="111">
        <f>'Balance Sheet'!F28</f>
        <v>24200</v>
      </c>
      <c r="U4" s="106" t="s">
        <v>23</v>
      </c>
      <c r="V4" s="111">
        <f>'Balance Sheet'!F20</f>
        <v>49683.37590547945</v>
      </c>
    </row>
    <row r="5" spans="2:22">
      <c r="B5" s="106" t="s">
        <v>24</v>
      </c>
      <c r="C5" s="111">
        <f>'Income Statement'!G6</f>
        <v>26640</v>
      </c>
      <c r="D5" s="111"/>
      <c r="E5" s="111">
        <f>'Income Statement'!G7</f>
        <v>17126.52</v>
      </c>
      <c r="F5" s="111">
        <f>'Income Statement'!G8</f>
        <v>10764.8</v>
      </c>
      <c r="H5" s="106" t="s">
        <v>24</v>
      </c>
      <c r="I5" s="111">
        <f>'Income Statement'!G30</f>
        <v>11396.32473233258</v>
      </c>
      <c r="K5" s="106" t="s">
        <v>24</v>
      </c>
      <c r="L5" s="111">
        <f>'Income Statement'!G14</f>
        <v>26923.1296</v>
      </c>
      <c r="M5" s="106"/>
      <c r="O5" s="106" t="s">
        <v>24</v>
      </c>
      <c r="P5" s="111">
        <f>'Income Statement'!G9</f>
        <v>54531.320000000007</v>
      </c>
      <c r="Q5" s="106"/>
      <c r="R5" s="106" t="s">
        <v>24</v>
      </c>
      <c r="S5" s="111">
        <f>'Balance Sheet'!G28</f>
        <v>23200</v>
      </c>
      <c r="U5" s="106" t="s">
        <v>24</v>
      </c>
      <c r="V5" s="111">
        <f>'Balance Sheet'!G20</f>
        <v>60634.187379729839</v>
      </c>
    </row>
    <row r="6" spans="2:22">
      <c r="B6" s="106" t="s">
        <v>30</v>
      </c>
      <c r="C6" s="111">
        <f>'Income Statement'!H6</f>
        <v>31968</v>
      </c>
      <c r="D6" s="111"/>
      <c r="E6" s="111">
        <f>'Income Statement'!H7</f>
        <v>20209.293600000001</v>
      </c>
      <c r="F6" s="111">
        <f>'Income Statement'!H8</f>
        <v>12487.167999999998</v>
      </c>
      <c r="H6" s="106" t="s">
        <v>30</v>
      </c>
      <c r="I6" s="111">
        <f>'Income Statement'!H30</f>
        <v>13894.874438730907</v>
      </c>
      <c r="K6" s="106" t="s">
        <v>30</v>
      </c>
      <c r="L6" s="111">
        <f>'Income Statement'!H14</f>
        <v>31928.044927999999</v>
      </c>
      <c r="M6" s="106"/>
      <c r="O6" s="106" t="s">
        <v>30</v>
      </c>
      <c r="P6" s="111">
        <f>'Income Statement'!H9</f>
        <v>64664.461600000002</v>
      </c>
      <c r="Q6" s="106"/>
      <c r="R6" s="106" t="s">
        <v>30</v>
      </c>
      <c r="S6" s="111">
        <f>'Balance Sheet'!H28</f>
        <v>22200</v>
      </c>
      <c r="U6" s="106" t="s">
        <v>30</v>
      </c>
      <c r="V6" s="111">
        <f>'Balance Sheet'!H20</f>
        <v>74187.242464334719</v>
      </c>
    </row>
    <row r="7" spans="2:22">
      <c r="B7" s="106" t="s">
        <v>31</v>
      </c>
      <c r="C7" s="111">
        <f>'Income Statement'!I6</f>
        <v>38361.599999999999</v>
      </c>
      <c r="D7" s="111"/>
      <c r="E7" s="111">
        <f>'Income Statement'!I7</f>
        <v>23846.966447999999</v>
      </c>
      <c r="F7" s="111">
        <f>'Income Statement'!I8</f>
        <v>14485.114879999997</v>
      </c>
      <c r="H7" s="106" t="s">
        <v>31</v>
      </c>
      <c r="I7" s="111">
        <f>'Income Statement'!I30</f>
        <v>16875.330180188685</v>
      </c>
      <c r="K7" s="106" t="s">
        <v>31</v>
      </c>
      <c r="L7" s="111">
        <f>'Income Statement'!I14</f>
        <v>37869.901335039998</v>
      </c>
      <c r="M7" s="106"/>
      <c r="O7" s="106" t="s">
        <v>31</v>
      </c>
      <c r="P7" s="111">
        <f>'Income Statement'!I9</f>
        <v>76693.681327999991</v>
      </c>
      <c r="Q7" s="106"/>
      <c r="R7" s="106" t="s">
        <v>31</v>
      </c>
      <c r="S7" s="111">
        <f>'Balance Sheet'!I28</f>
        <v>21200</v>
      </c>
      <c r="U7" s="106" t="s">
        <v>31</v>
      </c>
      <c r="V7" s="111">
        <f>'Balance Sheet'!I20</f>
        <v>90843.967459695792</v>
      </c>
    </row>
    <row r="8" spans="2:22">
      <c r="B8" s="106" t="s">
        <v>32</v>
      </c>
      <c r="C8" s="111">
        <f>'Income Statement'!J6</f>
        <v>46033.919999999998</v>
      </c>
      <c r="D8" s="111"/>
      <c r="E8" s="111">
        <f>'Income Statement'!J7</f>
        <v>28139.420408639999</v>
      </c>
      <c r="F8" s="111">
        <f>'Income Statement'!J8</f>
        <v>16802.733260799996</v>
      </c>
      <c r="H8" s="106" t="s">
        <v>32</v>
      </c>
      <c r="I8" s="111">
        <f>'Income Statement'!J30</f>
        <v>20458.100296771547</v>
      </c>
      <c r="K8" s="106" t="s">
        <v>32</v>
      </c>
      <c r="L8" s="111">
        <f>'Income Statement'!J14</f>
        <v>44925.248426547194</v>
      </c>
      <c r="M8" s="106"/>
      <c r="O8" s="106" t="s">
        <v>32</v>
      </c>
      <c r="P8" s="111">
        <f>'Income Statement'!J9</f>
        <v>90976.073669439997</v>
      </c>
      <c r="Q8" s="106"/>
      <c r="R8" s="106" t="s">
        <v>32</v>
      </c>
      <c r="S8" s="111">
        <f>'Balance Sheet'!J28</f>
        <v>20200</v>
      </c>
      <c r="U8" s="106" t="s">
        <v>32</v>
      </c>
      <c r="V8" s="111">
        <f>'Balance Sheet'!J20</f>
        <v>111229.89422329568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Statement</vt:lpstr>
      <vt:lpstr>Balance Sheet</vt:lpstr>
      <vt:lpstr>Cash Flow</vt:lpstr>
      <vt:lpstr>Dep Capex</vt:lpstr>
      <vt:lpstr>Working Capital</vt:lpstr>
      <vt:lpstr>Debt</vt:lpstr>
      <vt:lpstr>Dashboard</vt:lpstr>
      <vt:lpstr>Tables</vt:lpstr>
    </vt:vector>
  </TitlesOfParts>
  <Company>Swapnanil Sinha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Three Statement Financial Modelling and Analysis</dc:title>
  <dc:subject>Apex Solutions Inc.</dc:subject>
  <dc:creator>Swapnanil Sinha</dc:creator>
  <cp:keywords>FInancial Modelling; Equity Reserach; Analysis</cp:keywords>
  <dc:description>I made a three statement financial model and equity analysis of a company name Apex Solutions</dc:description>
  <cp:lastModifiedBy>Swapnanil Sinha</cp:lastModifiedBy>
  <cp:lastPrinted>2026-05-25T08:55:42Z</cp:lastPrinted>
  <dcterms:created xsi:type="dcterms:W3CDTF">2013-06-17T08:47:06Z</dcterms:created>
  <dcterms:modified xsi:type="dcterms:W3CDTF">2026-05-25T08:59:51Z</dcterms:modified>
  <cp:contentStatus>Financial Modelling Completed</cp:contentStatus>
</cp:coreProperties>
</file>